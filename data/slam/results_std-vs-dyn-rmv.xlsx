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F0D\EXCELCNV\64d94756-3acc-4192-abcd-1bb6f5f43d68\"/>
    </mc:Choice>
  </mc:AlternateContent>
  <xr:revisionPtr revIDLastSave="0" documentId="8_{DD345504-9C04-4AEA-B608-3525FAF64592}" xr6:coauthVersionLast="47" xr6:coauthVersionMax="47" xr10:uidLastSave="{00000000-0000-0000-0000-000000000000}"/>
  <bookViews>
    <workbookView xWindow="-60" yWindow="-60" windowWidth="15480" windowHeight="11640" xr2:uid="{B5D39141-F618-402E-AC23-79191BE8A09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" l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2" i="1"/>
  <c r="R3" i="1"/>
  <c r="X25" i="1"/>
  <c r="W25" i="1"/>
  <c r="X24" i="1"/>
  <c r="W24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X4" i="1"/>
  <c r="W4" i="1"/>
  <c r="X3" i="1"/>
  <c r="W3" i="1"/>
  <c r="X2" i="1"/>
  <c r="W2" i="1"/>
  <c r="T25" i="1"/>
  <c r="T24" i="1"/>
  <c r="S25" i="1"/>
  <c r="S24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<sst xmlns="http://schemas.openxmlformats.org/spreadsheetml/2006/main" count="77" uniqueCount="36">
  <si>
    <t>Dataset</t>
  </si>
  <si>
    <t>Sequence</t>
  </si>
  <si>
    <t>Mode</t>
  </si>
  <si>
    <t>N_obs_standard</t>
  </si>
  <si>
    <t>N_obs_dyn-rmv</t>
  </si>
  <si>
    <t>delta_N_obs</t>
  </si>
  <si>
    <t>tau=0.05_standard_m_peak(%)</t>
  </si>
  <si>
    <t>tau=0.05_standard_m_mid(%)</t>
  </si>
  <si>
    <t>tau=0.05_dyn-rmv_m_peak(%)</t>
  </si>
  <si>
    <t>tau=0.05_dyn-rmv_m_mid(%)</t>
  </si>
  <si>
    <t>tau=0.10_standard_m_peak(%)</t>
  </si>
  <si>
    <t>tau=0.10_standard_m_mid(%)</t>
  </si>
  <si>
    <t>tau=0.10_dyn-rmv_m_peak(%)</t>
  </si>
  <si>
    <t>tau=0.10_dyn-rmv_m_mid(%)</t>
  </si>
  <si>
    <t>tau 5%</t>
  </si>
  <si>
    <t>tau 10%</t>
  </si>
  <si>
    <t>IILABS 3D</t>
  </si>
  <si>
    <t>Nav A Diff</t>
  </si>
  <si>
    <t>scan</t>
  </si>
  <si>
    <t>local</t>
  </si>
  <si>
    <t>Nav A Omni</t>
  </si>
  <si>
    <t>Loop</t>
  </si>
  <si>
    <t>Slippage</t>
  </si>
  <si>
    <t>avantgarde</t>
  </si>
  <si>
    <t>run0</t>
  </si>
  <si>
    <t>run1</t>
  </si>
  <si>
    <t>run2</t>
  </si>
  <si>
    <t>run3</t>
  </si>
  <si>
    <t>run4</t>
  </si>
  <si>
    <t>run5</t>
  </si>
  <si>
    <t>run6</t>
  </si>
  <si>
    <t>cappero</t>
  </si>
  <si>
    <t>flowbotic</t>
  </si>
  <si>
    <t>kuka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</si>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</sst>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E815-B998-4F4D-A43D-643C06934DCF}">
  <dimension ref="A1:X25"/>
  <sheetViews>
    <sheetView tabSelected="1" workbookViewId="0">
      <selection activeCell="R23" sqref="R23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S1" t="s">
        <v>14</v>
      </c>
      <c r="T1" t="s">
        <v>14</v>
      </c>
      <c r="W1" t="s">
        <v>15</v>
      </c>
      <c r="X1" t="s">
        <v>15</v>
      </c>
    </row>
    <row r="2" spans="1:24">
      <c r="A2" t="s">
        <v>16</v>
      </c>
      <c r="B2" t="s">
        <v>17</v>
      </c>
      <c r="C2" t="s">
        <v>18</v>
      </c>
      <c r="D2">
        <v>225571</v>
      </c>
      <c r="E2">
        <v>225091</v>
      </c>
      <c r="F2">
        <v>-480</v>
      </c>
      <c r="G2">
        <v>95.21</v>
      </c>
      <c r="H2">
        <v>4.79</v>
      </c>
      <c r="I2">
        <v>96.19</v>
      </c>
      <c r="J2">
        <v>3.81</v>
      </c>
      <c r="K2">
        <v>96.26</v>
      </c>
      <c r="L2">
        <v>3.74</v>
      </c>
      <c r="M2">
        <v>96.74</v>
      </c>
      <c r="N2">
        <v>3.26</v>
      </c>
      <c r="R2">
        <f>S2*E2/100</f>
        <v>2205.891800000009</v>
      </c>
      <c r="S2">
        <f>I2-G2</f>
        <v>0.98000000000000398</v>
      </c>
      <c r="T2">
        <f>J2-H2</f>
        <v>-0.98</v>
      </c>
      <c r="W2">
        <f>M2-K2</f>
        <v>0.47999999999998977</v>
      </c>
      <c r="X2">
        <f>N2-L2</f>
        <v>-0.48000000000000043</v>
      </c>
    </row>
    <row r="3" spans="1:24">
      <c r="A3" t="s">
        <v>16</v>
      </c>
      <c r="B3" t="s">
        <v>17</v>
      </c>
      <c r="C3" t="s">
        <v>19</v>
      </c>
      <c r="D3">
        <v>238282</v>
      </c>
      <c r="E3">
        <v>238015</v>
      </c>
      <c r="F3">
        <v>-267</v>
      </c>
      <c r="G3">
        <v>92.91</v>
      </c>
      <c r="H3">
        <v>7.09</v>
      </c>
      <c r="I3">
        <v>94.17</v>
      </c>
      <c r="J3">
        <v>5.83</v>
      </c>
      <c r="K3">
        <v>94.7</v>
      </c>
      <c r="L3">
        <v>5.3</v>
      </c>
      <c r="M3">
        <v>95.25</v>
      </c>
      <c r="N3">
        <v>4.75</v>
      </c>
      <c r="R3">
        <f>S3*E3/100</f>
        <v>2998.9890000000123</v>
      </c>
      <c r="S3" s="2">
        <f t="shared" ref="S3:T22" si="0">I3-G3</f>
        <v>1.2600000000000051</v>
      </c>
      <c r="T3" s="1">
        <f t="shared" si="0"/>
        <v>-1.2599999999999998</v>
      </c>
      <c r="U3" s="1"/>
      <c r="V3" s="1"/>
      <c r="W3" s="1">
        <f t="shared" ref="W3:W22" si="1">M3-K3</f>
        <v>0.54999999999999716</v>
      </c>
      <c r="X3" s="1">
        <f t="shared" ref="X3:X22" si="2">N3-L3</f>
        <v>-0.54999999999999982</v>
      </c>
    </row>
    <row r="4" spans="1:24">
      <c r="A4" t="s">
        <v>16</v>
      </c>
      <c r="B4" t="s">
        <v>20</v>
      </c>
      <c r="C4" t="s">
        <v>18</v>
      </c>
      <c r="D4">
        <v>211680</v>
      </c>
      <c r="E4">
        <v>211027</v>
      </c>
      <c r="F4">
        <v>-653</v>
      </c>
      <c r="G4">
        <v>96.3</v>
      </c>
      <c r="H4">
        <v>3.7</v>
      </c>
      <c r="I4">
        <v>96.99</v>
      </c>
      <c r="J4">
        <v>3.01</v>
      </c>
      <c r="K4">
        <v>96.84</v>
      </c>
      <c r="L4">
        <v>3.16</v>
      </c>
      <c r="M4">
        <v>97.26</v>
      </c>
      <c r="N4">
        <v>2.74</v>
      </c>
      <c r="R4">
        <f t="shared" ref="R4:R22" si="3">S4*E4/100</f>
        <v>1456.0862999999952</v>
      </c>
      <c r="S4">
        <f t="shared" si="0"/>
        <v>0.68999999999999773</v>
      </c>
      <c r="T4">
        <f t="shared" si="0"/>
        <v>-0.69000000000000039</v>
      </c>
      <c r="W4">
        <f t="shared" si="1"/>
        <v>0.42000000000000171</v>
      </c>
      <c r="X4">
        <f t="shared" si="2"/>
        <v>-0.41999999999999993</v>
      </c>
    </row>
    <row r="5" spans="1:24">
      <c r="A5" t="s">
        <v>16</v>
      </c>
      <c r="B5" t="s">
        <v>20</v>
      </c>
      <c r="C5" t="s">
        <v>19</v>
      </c>
      <c r="D5">
        <v>232092</v>
      </c>
      <c r="E5">
        <v>231639</v>
      </c>
      <c r="F5">
        <v>-453</v>
      </c>
      <c r="G5">
        <v>93.21</v>
      </c>
      <c r="H5">
        <v>6.79</v>
      </c>
      <c r="I5">
        <v>94.43</v>
      </c>
      <c r="J5">
        <v>5.57</v>
      </c>
      <c r="K5">
        <v>94.69</v>
      </c>
      <c r="L5">
        <v>5.31</v>
      </c>
      <c r="M5">
        <v>95.27</v>
      </c>
      <c r="N5">
        <v>4.7300000000000004</v>
      </c>
      <c r="R5">
        <f t="shared" si="3"/>
        <v>2825.9958000000306</v>
      </c>
      <c r="S5" s="1">
        <f t="shared" si="0"/>
        <v>1.2200000000000131</v>
      </c>
      <c r="T5" s="1">
        <f t="shared" si="0"/>
        <v>-1.2199999999999998</v>
      </c>
      <c r="U5" s="1"/>
      <c r="V5" s="1"/>
      <c r="W5" s="1">
        <f t="shared" si="1"/>
        <v>0.57999999999999829</v>
      </c>
      <c r="X5" s="1">
        <f t="shared" si="2"/>
        <v>-0.57999999999999918</v>
      </c>
    </row>
    <row r="6" spans="1:24">
      <c r="A6" t="s">
        <v>16</v>
      </c>
      <c r="B6" t="s">
        <v>21</v>
      </c>
      <c r="C6" t="s">
        <v>18</v>
      </c>
      <c r="D6">
        <v>324553</v>
      </c>
      <c r="E6">
        <v>324249</v>
      </c>
      <c r="F6">
        <v>-304</v>
      </c>
      <c r="G6">
        <v>96.25</v>
      </c>
      <c r="H6">
        <v>3.75</v>
      </c>
      <c r="I6">
        <v>96.9</v>
      </c>
      <c r="J6">
        <v>3.1</v>
      </c>
      <c r="K6">
        <v>96.95</v>
      </c>
      <c r="L6">
        <v>3.05</v>
      </c>
      <c r="M6">
        <v>97.28</v>
      </c>
      <c r="N6">
        <v>2.72</v>
      </c>
      <c r="R6">
        <f t="shared" si="3"/>
        <v>2107.6185000000182</v>
      </c>
      <c r="S6">
        <f t="shared" si="0"/>
        <v>0.65000000000000568</v>
      </c>
      <c r="T6">
        <f t="shared" si="0"/>
        <v>-0.64999999999999991</v>
      </c>
      <c r="W6">
        <f t="shared" si="1"/>
        <v>0.32999999999999829</v>
      </c>
      <c r="X6">
        <f t="shared" si="2"/>
        <v>-0.32999999999999963</v>
      </c>
    </row>
    <row r="7" spans="1:24">
      <c r="A7" t="s">
        <v>16</v>
      </c>
      <c r="B7" t="s">
        <v>21</v>
      </c>
      <c r="C7" t="s">
        <v>19</v>
      </c>
      <c r="D7">
        <v>355885</v>
      </c>
      <c r="E7">
        <v>355165</v>
      </c>
      <c r="F7">
        <v>-720</v>
      </c>
      <c r="G7">
        <v>94.72</v>
      </c>
      <c r="H7">
        <v>5.28</v>
      </c>
      <c r="I7">
        <v>95.52</v>
      </c>
      <c r="J7">
        <v>4.4800000000000004</v>
      </c>
      <c r="K7">
        <v>95.87</v>
      </c>
      <c r="L7">
        <v>4.13</v>
      </c>
      <c r="M7">
        <v>96.25</v>
      </c>
      <c r="N7">
        <v>3.75</v>
      </c>
      <c r="R7">
        <f t="shared" si="3"/>
        <v>2841.3199999999902</v>
      </c>
      <c r="S7" s="1">
        <f t="shared" si="0"/>
        <v>0.79999999999999716</v>
      </c>
      <c r="T7" s="1">
        <f t="shared" si="0"/>
        <v>-0.79999999999999982</v>
      </c>
      <c r="U7" s="1"/>
      <c r="V7" s="1"/>
      <c r="W7" s="1">
        <f t="shared" si="1"/>
        <v>0.37999999999999545</v>
      </c>
      <c r="X7" s="1">
        <f t="shared" si="2"/>
        <v>-0.37999999999999989</v>
      </c>
    </row>
    <row r="8" spans="1:24">
      <c r="A8" t="s">
        <v>16</v>
      </c>
      <c r="B8" t="s">
        <v>22</v>
      </c>
      <c r="C8" t="s">
        <v>18</v>
      </c>
      <c r="D8">
        <v>177664</v>
      </c>
      <c r="E8">
        <v>177476</v>
      </c>
      <c r="F8">
        <v>-188</v>
      </c>
      <c r="G8">
        <v>98.38</v>
      </c>
      <c r="H8">
        <v>1.62</v>
      </c>
      <c r="I8">
        <v>98.64</v>
      </c>
      <c r="J8">
        <v>1.36</v>
      </c>
      <c r="K8">
        <v>98.48</v>
      </c>
      <c r="L8">
        <v>1.52</v>
      </c>
      <c r="M8">
        <v>98.68</v>
      </c>
      <c r="N8">
        <v>1.32</v>
      </c>
      <c r="R8">
        <f t="shared" si="3"/>
        <v>461.43760000000913</v>
      </c>
      <c r="S8">
        <f t="shared" si="0"/>
        <v>0.26000000000000512</v>
      </c>
      <c r="T8">
        <f t="shared" si="0"/>
        <v>-0.26</v>
      </c>
      <c r="W8">
        <f t="shared" si="1"/>
        <v>0.20000000000000284</v>
      </c>
      <c r="X8">
        <f t="shared" si="2"/>
        <v>-0.19999999999999996</v>
      </c>
    </row>
    <row r="9" spans="1:24">
      <c r="A9" t="s">
        <v>16</v>
      </c>
      <c r="B9" t="s">
        <v>22</v>
      </c>
      <c r="C9" t="s">
        <v>19</v>
      </c>
      <c r="D9">
        <v>196312</v>
      </c>
      <c r="E9">
        <v>196097</v>
      </c>
      <c r="F9">
        <v>-215</v>
      </c>
      <c r="G9">
        <v>96.27</v>
      </c>
      <c r="H9">
        <v>3.73</v>
      </c>
      <c r="I9">
        <v>96.98</v>
      </c>
      <c r="J9">
        <v>3.02</v>
      </c>
      <c r="K9">
        <v>97.08</v>
      </c>
      <c r="L9">
        <v>2.92</v>
      </c>
      <c r="M9">
        <v>97.42</v>
      </c>
      <c r="N9">
        <v>2.58</v>
      </c>
      <c r="R9">
        <f t="shared" si="3"/>
        <v>1392.2887000000158</v>
      </c>
      <c r="S9" s="1">
        <f t="shared" si="0"/>
        <v>0.71000000000000796</v>
      </c>
      <c r="T9" s="1">
        <f t="shared" si="0"/>
        <v>-0.71</v>
      </c>
      <c r="U9" s="1"/>
      <c r="V9" s="1"/>
      <c r="W9" s="1">
        <f t="shared" si="1"/>
        <v>0.34000000000000341</v>
      </c>
      <c r="X9" s="1">
        <f t="shared" si="2"/>
        <v>-0.33999999999999986</v>
      </c>
    </row>
    <row r="10" spans="1:24">
      <c r="A10" t="s">
        <v>23</v>
      </c>
      <c r="B10" t="s">
        <v>24</v>
      </c>
      <c r="C10" t="s">
        <v>18</v>
      </c>
      <c r="D10">
        <v>6944503</v>
      </c>
      <c r="E10">
        <v>6885705</v>
      </c>
      <c r="F10">
        <v>-58798</v>
      </c>
      <c r="G10">
        <v>98.9</v>
      </c>
      <c r="H10">
        <v>1.1000000000000001</v>
      </c>
      <c r="I10">
        <v>99.02</v>
      </c>
      <c r="J10">
        <v>0.98</v>
      </c>
      <c r="K10">
        <v>98.98</v>
      </c>
      <c r="L10">
        <v>1.02</v>
      </c>
      <c r="M10">
        <v>99.06</v>
      </c>
      <c r="N10">
        <v>0.94</v>
      </c>
      <c r="R10" s="3">
        <f t="shared" si="3"/>
        <v>8262.8459999993356</v>
      </c>
      <c r="S10" s="1">
        <f t="shared" si="0"/>
        <v>0.11999999999999034</v>
      </c>
      <c r="T10" s="1">
        <f t="shared" si="0"/>
        <v>-0.12000000000000011</v>
      </c>
      <c r="U10" s="1"/>
      <c r="V10" s="1"/>
      <c r="W10" s="1">
        <f t="shared" si="1"/>
        <v>7.9999999999998295E-2</v>
      </c>
      <c r="X10" s="1">
        <f t="shared" si="2"/>
        <v>-8.0000000000000071E-2</v>
      </c>
    </row>
    <row r="11" spans="1:24">
      <c r="A11" t="s">
        <v>23</v>
      </c>
      <c r="B11" t="s">
        <v>25</v>
      </c>
      <c r="C11" t="s">
        <v>18</v>
      </c>
      <c r="D11">
        <v>1961496</v>
      </c>
      <c r="E11">
        <v>1925419</v>
      </c>
      <c r="F11">
        <v>-36077</v>
      </c>
      <c r="G11">
        <v>98.99</v>
      </c>
      <c r="H11">
        <v>1.01</v>
      </c>
      <c r="I11">
        <v>99.07</v>
      </c>
      <c r="J11">
        <v>0.93</v>
      </c>
      <c r="K11">
        <v>99.08</v>
      </c>
      <c r="L11">
        <v>0.92</v>
      </c>
      <c r="M11">
        <v>99.14</v>
      </c>
      <c r="N11">
        <v>0.86</v>
      </c>
      <c r="R11">
        <f t="shared" si="3"/>
        <v>1540.3351999999672</v>
      </c>
      <c r="S11">
        <f t="shared" si="0"/>
        <v>7.9999999999998295E-2</v>
      </c>
      <c r="T11">
        <f t="shared" si="0"/>
        <v>-7.999999999999996E-2</v>
      </c>
      <c r="W11">
        <f t="shared" si="1"/>
        <v>6.0000000000002274E-2</v>
      </c>
      <c r="X11">
        <f t="shared" si="2"/>
        <v>-6.0000000000000053E-2</v>
      </c>
    </row>
    <row r="12" spans="1:24">
      <c r="A12" t="s">
        <v>23</v>
      </c>
      <c r="B12" t="s">
        <v>26</v>
      </c>
      <c r="C12" t="s">
        <v>18</v>
      </c>
      <c r="D12">
        <v>1868482</v>
      </c>
      <c r="E12">
        <v>1846486</v>
      </c>
      <c r="F12">
        <v>-21996</v>
      </c>
      <c r="G12">
        <v>98.81</v>
      </c>
      <c r="H12">
        <v>1.19</v>
      </c>
      <c r="I12">
        <v>98.94</v>
      </c>
      <c r="J12">
        <v>1.06</v>
      </c>
      <c r="K12">
        <v>98.91</v>
      </c>
      <c r="L12">
        <v>1.0900000000000001</v>
      </c>
      <c r="M12">
        <v>99.01</v>
      </c>
      <c r="N12">
        <v>0.99</v>
      </c>
      <c r="R12">
        <f t="shared" si="3"/>
        <v>2400.4317999999162</v>
      </c>
      <c r="S12" s="1">
        <f t="shared" si="0"/>
        <v>0.12999999999999545</v>
      </c>
      <c r="T12" s="1">
        <f t="shared" si="0"/>
        <v>-0.12999999999999989</v>
      </c>
      <c r="U12" s="1"/>
      <c r="V12" s="1"/>
      <c r="W12" s="1">
        <f t="shared" si="1"/>
        <v>0.10000000000000853</v>
      </c>
      <c r="X12" s="1">
        <f t="shared" si="2"/>
        <v>-0.10000000000000009</v>
      </c>
    </row>
    <row r="13" spans="1:24">
      <c r="A13" t="s">
        <v>23</v>
      </c>
      <c r="B13" t="s">
        <v>27</v>
      </c>
      <c r="C13" t="s">
        <v>18</v>
      </c>
      <c r="D13">
        <v>1753355</v>
      </c>
      <c r="E13">
        <v>1733622</v>
      </c>
      <c r="F13">
        <v>-19733</v>
      </c>
      <c r="G13">
        <v>98.86</v>
      </c>
      <c r="H13">
        <v>1.1399999999999999</v>
      </c>
      <c r="I13">
        <v>98.96</v>
      </c>
      <c r="J13">
        <v>1.04</v>
      </c>
      <c r="K13">
        <v>98.94</v>
      </c>
      <c r="L13">
        <v>1.06</v>
      </c>
      <c r="M13">
        <v>99.01</v>
      </c>
      <c r="N13">
        <v>0.99</v>
      </c>
      <c r="R13">
        <f t="shared" si="3"/>
        <v>1733.6219999999014</v>
      </c>
      <c r="S13">
        <f t="shared" si="0"/>
        <v>9.9999999999994316E-2</v>
      </c>
      <c r="T13">
        <f t="shared" si="0"/>
        <v>-9.9999999999999867E-2</v>
      </c>
      <c r="W13">
        <f t="shared" si="1"/>
        <v>7.000000000000739E-2</v>
      </c>
      <c r="X13">
        <f t="shared" si="2"/>
        <v>-7.0000000000000062E-2</v>
      </c>
    </row>
    <row r="14" spans="1:24">
      <c r="A14" t="s">
        <v>23</v>
      </c>
      <c r="B14" t="s">
        <v>28</v>
      </c>
      <c r="C14" t="s">
        <v>18</v>
      </c>
      <c r="D14">
        <v>1880880</v>
      </c>
      <c r="E14">
        <v>1862146</v>
      </c>
      <c r="F14">
        <v>-18734</v>
      </c>
      <c r="G14">
        <v>98.71</v>
      </c>
      <c r="H14">
        <v>1.29</v>
      </c>
      <c r="I14">
        <v>98.83</v>
      </c>
      <c r="J14">
        <v>1.17</v>
      </c>
      <c r="K14">
        <v>98.82</v>
      </c>
      <c r="L14">
        <v>1.18</v>
      </c>
      <c r="M14">
        <v>98.91</v>
      </c>
      <c r="N14">
        <v>1.0900000000000001</v>
      </c>
      <c r="R14">
        <f t="shared" si="3"/>
        <v>2234.5752000000848</v>
      </c>
      <c r="S14">
        <f t="shared" si="0"/>
        <v>0.12000000000000455</v>
      </c>
      <c r="T14">
        <f t="shared" si="0"/>
        <v>-0.12000000000000011</v>
      </c>
      <c r="W14">
        <f t="shared" si="1"/>
        <v>9.0000000000003411E-2</v>
      </c>
      <c r="X14">
        <f t="shared" si="2"/>
        <v>-8.9999999999999858E-2</v>
      </c>
    </row>
    <row r="15" spans="1:24">
      <c r="A15" t="s">
        <v>23</v>
      </c>
      <c r="B15" t="s">
        <v>29</v>
      </c>
      <c r="C15" t="s">
        <v>18</v>
      </c>
      <c r="D15">
        <v>1965889</v>
      </c>
      <c r="E15">
        <v>1948151</v>
      </c>
      <c r="F15">
        <v>-17738</v>
      </c>
      <c r="G15">
        <v>98.49</v>
      </c>
      <c r="H15">
        <v>1.51</v>
      </c>
      <c r="I15">
        <v>98.67</v>
      </c>
      <c r="J15">
        <v>1.33</v>
      </c>
      <c r="K15">
        <v>98.66</v>
      </c>
      <c r="L15">
        <v>1.34</v>
      </c>
      <c r="M15">
        <v>98.79</v>
      </c>
      <c r="N15">
        <v>1.21</v>
      </c>
      <c r="R15">
        <f t="shared" si="3"/>
        <v>3506.6718000001329</v>
      </c>
      <c r="S15" s="1">
        <f t="shared" si="0"/>
        <v>0.18000000000000682</v>
      </c>
      <c r="T15" s="1">
        <f t="shared" si="0"/>
        <v>-0.17999999999999994</v>
      </c>
      <c r="U15" s="1"/>
      <c r="V15" s="1"/>
      <c r="W15" s="1">
        <f t="shared" si="1"/>
        <v>0.13000000000000966</v>
      </c>
      <c r="X15" s="1">
        <f t="shared" si="2"/>
        <v>-0.13000000000000012</v>
      </c>
    </row>
    <row r="16" spans="1:24">
      <c r="A16" t="s">
        <v>23</v>
      </c>
      <c r="B16" t="s">
        <v>30</v>
      </c>
      <c r="C16" t="s">
        <v>18</v>
      </c>
      <c r="D16">
        <v>1645006</v>
      </c>
      <c r="E16">
        <v>1627833</v>
      </c>
      <c r="F16">
        <v>-17173</v>
      </c>
      <c r="G16">
        <v>98.68</v>
      </c>
      <c r="H16">
        <v>1.32</v>
      </c>
      <c r="I16">
        <v>98.8</v>
      </c>
      <c r="J16">
        <v>1.2</v>
      </c>
      <c r="K16">
        <v>98.81</v>
      </c>
      <c r="L16">
        <v>1.19</v>
      </c>
      <c r="M16">
        <v>98.9</v>
      </c>
      <c r="N16">
        <v>1.1000000000000001</v>
      </c>
      <c r="R16">
        <f t="shared" si="3"/>
        <v>1953.3995999998428</v>
      </c>
      <c r="S16">
        <f t="shared" si="0"/>
        <v>0.11999999999999034</v>
      </c>
      <c r="T16">
        <f t="shared" si="0"/>
        <v>-0.12000000000000011</v>
      </c>
      <c r="W16">
        <f t="shared" si="1"/>
        <v>9.0000000000003411E-2</v>
      </c>
      <c r="X16">
        <f t="shared" si="2"/>
        <v>-8.9999999999999858E-2</v>
      </c>
    </row>
    <row r="17" spans="1:24">
      <c r="A17" t="s">
        <v>31</v>
      </c>
      <c r="C17" t="s">
        <v>18</v>
      </c>
      <c r="D17">
        <v>842204</v>
      </c>
      <c r="E17">
        <v>840532</v>
      </c>
      <c r="F17">
        <v>-1672</v>
      </c>
      <c r="G17">
        <v>94.13</v>
      </c>
      <c r="H17">
        <v>5.87</v>
      </c>
      <c r="I17">
        <v>94.61</v>
      </c>
      <c r="J17">
        <v>5.39</v>
      </c>
      <c r="K17">
        <v>95.24</v>
      </c>
      <c r="L17">
        <v>4.76</v>
      </c>
      <c r="M17">
        <v>95.48</v>
      </c>
      <c r="N17">
        <v>4.5199999999999996</v>
      </c>
      <c r="R17">
        <f t="shared" si="3"/>
        <v>4034.5536000000338</v>
      </c>
      <c r="S17">
        <f t="shared" si="0"/>
        <v>0.48000000000000398</v>
      </c>
      <c r="T17">
        <f t="shared" si="0"/>
        <v>-0.48000000000000043</v>
      </c>
      <c r="W17">
        <f t="shared" si="1"/>
        <v>0.24000000000000909</v>
      </c>
      <c r="X17">
        <f t="shared" si="2"/>
        <v>-0.24000000000000021</v>
      </c>
    </row>
    <row r="18" spans="1:24">
      <c r="A18" t="s">
        <v>31</v>
      </c>
      <c r="C18" t="s">
        <v>19</v>
      </c>
      <c r="D18">
        <v>853734</v>
      </c>
      <c r="E18">
        <v>852711</v>
      </c>
      <c r="F18">
        <v>-1023</v>
      </c>
      <c r="G18">
        <v>93.67</v>
      </c>
      <c r="H18">
        <v>6.33</v>
      </c>
      <c r="I18">
        <v>94.17</v>
      </c>
      <c r="J18">
        <v>5.83</v>
      </c>
      <c r="K18">
        <v>94.9</v>
      </c>
      <c r="L18">
        <v>5.0999999999999996</v>
      </c>
      <c r="M18">
        <v>95.17</v>
      </c>
      <c r="N18">
        <v>4.83</v>
      </c>
      <c r="R18">
        <f t="shared" si="3"/>
        <v>4263.5550000000003</v>
      </c>
      <c r="S18" s="1">
        <f t="shared" si="0"/>
        <v>0.5</v>
      </c>
      <c r="T18" s="1">
        <f t="shared" si="0"/>
        <v>-0.5</v>
      </c>
      <c r="U18" s="1"/>
      <c r="V18" s="1"/>
      <c r="W18" s="1">
        <f t="shared" si="1"/>
        <v>0.26999999999999602</v>
      </c>
      <c r="X18" s="1">
        <f t="shared" si="2"/>
        <v>-0.26999999999999957</v>
      </c>
    </row>
    <row r="19" spans="1:24">
      <c r="A19" t="s">
        <v>32</v>
      </c>
      <c r="B19">
        <v>20251024</v>
      </c>
      <c r="C19" t="s">
        <v>19</v>
      </c>
      <c r="D19">
        <v>3815218</v>
      </c>
      <c r="E19">
        <v>3769513</v>
      </c>
      <c r="F19">
        <v>-45705</v>
      </c>
      <c r="G19">
        <v>96.81</v>
      </c>
      <c r="H19">
        <v>3.19</v>
      </c>
      <c r="I19">
        <v>97.52</v>
      </c>
      <c r="J19">
        <v>2.48</v>
      </c>
      <c r="K19">
        <v>97.45</v>
      </c>
      <c r="L19">
        <v>2.5499999999999998</v>
      </c>
      <c r="M19">
        <v>97.87</v>
      </c>
      <c r="N19">
        <v>2.13</v>
      </c>
      <c r="R19" s="3">
        <f t="shared" si="3"/>
        <v>26763.542299999761</v>
      </c>
      <c r="S19" s="1">
        <f t="shared" si="0"/>
        <v>0.70999999999999375</v>
      </c>
      <c r="T19" s="1">
        <f t="shared" si="0"/>
        <v>-0.71</v>
      </c>
      <c r="U19" s="1"/>
      <c r="V19" s="1"/>
      <c r="W19" s="1">
        <f t="shared" si="1"/>
        <v>0.42000000000000171</v>
      </c>
      <c r="X19" s="1">
        <f t="shared" si="2"/>
        <v>-0.41999999999999993</v>
      </c>
    </row>
    <row r="20" spans="1:24">
      <c r="A20" t="s">
        <v>32</v>
      </c>
      <c r="B20">
        <v>20251027</v>
      </c>
      <c r="C20" t="s">
        <v>19</v>
      </c>
      <c r="D20">
        <v>3116225</v>
      </c>
      <c r="E20">
        <v>3071177</v>
      </c>
      <c r="F20">
        <v>-45048</v>
      </c>
      <c r="G20">
        <v>97.01</v>
      </c>
      <c r="H20">
        <v>2.99</v>
      </c>
      <c r="I20">
        <v>97.68</v>
      </c>
      <c r="J20">
        <v>2.3199999999999998</v>
      </c>
      <c r="K20">
        <v>97.57</v>
      </c>
      <c r="L20">
        <v>2.4300000000000002</v>
      </c>
      <c r="M20">
        <v>97.97</v>
      </c>
      <c r="N20">
        <v>2.0299999999999998</v>
      </c>
      <c r="R20" s="3">
        <f t="shared" si="3"/>
        <v>20576.885900000052</v>
      </c>
      <c r="S20" s="1">
        <f t="shared" si="0"/>
        <v>0.67000000000000171</v>
      </c>
      <c r="T20" s="1">
        <f t="shared" si="0"/>
        <v>-0.67000000000000037</v>
      </c>
      <c r="U20" s="1"/>
      <c r="V20" s="1"/>
      <c r="W20" s="1">
        <f t="shared" si="1"/>
        <v>0.40000000000000568</v>
      </c>
      <c r="X20" s="1">
        <f t="shared" si="2"/>
        <v>-0.40000000000000036</v>
      </c>
    </row>
    <row r="21" spans="1:24">
      <c r="A21" t="s">
        <v>32</v>
      </c>
      <c r="B21">
        <v>20251028</v>
      </c>
      <c r="C21" t="s">
        <v>19</v>
      </c>
      <c r="D21">
        <v>3214031</v>
      </c>
      <c r="E21">
        <v>3166414</v>
      </c>
      <c r="F21">
        <v>-47617</v>
      </c>
      <c r="G21">
        <v>96.98</v>
      </c>
      <c r="H21">
        <v>3.02</v>
      </c>
      <c r="I21">
        <v>97.59</v>
      </c>
      <c r="J21">
        <v>2.41</v>
      </c>
      <c r="K21">
        <v>97.64</v>
      </c>
      <c r="L21">
        <v>2.36</v>
      </c>
      <c r="M21">
        <v>98.02</v>
      </c>
      <c r="N21">
        <v>1.98</v>
      </c>
      <c r="R21" s="3">
        <f t="shared" si="3"/>
        <v>19315.125399999983</v>
      </c>
      <c r="S21" s="1">
        <f t="shared" si="0"/>
        <v>0.60999999999999943</v>
      </c>
      <c r="T21" s="1">
        <f t="shared" si="0"/>
        <v>-0.60999999999999988</v>
      </c>
      <c r="U21" s="1"/>
      <c r="V21" s="1"/>
      <c r="W21" s="1">
        <f t="shared" si="1"/>
        <v>0.37999999999999545</v>
      </c>
      <c r="X21" s="1">
        <f t="shared" si="2"/>
        <v>-0.37999999999999989</v>
      </c>
    </row>
    <row r="22" spans="1:24">
      <c r="A22" t="s">
        <v>33</v>
      </c>
      <c r="C22" t="s">
        <v>19</v>
      </c>
      <c r="D22">
        <v>11281724</v>
      </c>
      <c r="E22">
        <v>11169607</v>
      </c>
      <c r="F22">
        <v>-112117</v>
      </c>
      <c r="G22">
        <v>96.28</v>
      </c>
      <c r="H22">
        <v>3.72</v>
      </c>
      <c r="I22">
        <v>97.06</v>
      </c>
      <c r="J22">
        <v>2.94</v>
      </c>
      <c r="K22">
        <v>96.95</v>
      </c>
      <c r="L22">
        <v>3.05</v>
      </c>
      <c r="M22">
        <v>97.42</v>
      </c>
      <c r="N22">
        <v>2.58</v>
      </c>
      <c r="R22" s="3">
        <f>S22*E22/100</f>
        <v>87122.934600000124</v>
      </c>
      <c r="S22" s="1">
        <f t="shared" si="0"/>
        <v>0.78000000000000114</v>
      </c>
      <c r="T22" s="1">
        <f t="shared" si="0"/>
        <v>-0.78000000000000025</v>
      </c>
      <c r="U22" s="1"/>
      <c r="V22" s="1"/>
      <c r="W22" s="1">
        <f t="shared" si="1"/>
        <v>0.46999999999999886</v>
      </c>
      <c r="X22" s="1">
        <f t="shared" si="2"/>
        <v>-0.46999999999999975</v>
      </c>
    </row>
    <row r="24" spans="1:24">
      <c r="R24" t="s">
        <v>34</v>
      </c>
      <c r="S24">
        <f>MIN(S2:S22)</f>
        <v>7.9999999999998295E-2</v>
      </c>
      <c r="T24">
        <f t="shared" ref="T24:V24" si="4">MIN(T2:T22)</f>
        <v>-1.2599999999999998</v>
      </c>
      <c r="W24">
        <f>MIN(W2:W22)</f>
        <v>6.0000000000002274E-2</v>
      </c>
      <c r="X24">
        <f t="shared" ref="X24" si="5">MIN(X2:X22)</f>
        <v>-0.57999999999999918</v>
      </c>
    </row>
    <row r="25" spans="1:24">
      <c r="R25" t="s">
        <v>35</v>
      </c>
      <c r="S25">
        <f>MAX(S2:S22)</f>
        <v>1.2600000000000051</v>
      </c>
      <c r="T25">
        <f t="shared" ref="T25:V25" si="6">MAX(T2:T22)</f>
        <v>-7.999999999999996E-2</v>
      </c>
      <c r="W25">
        <f>MAX(W2:W22)</f>
        <v>0.57999999999999829</v>
      </c>
      <c r="X25">
        <f t="shared" ref="X25" si="7">MAX(X2:X22)</f>
        <v>-6.0000000000000053E-2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2026-06-15T20:53:36Z</dcterms:created>
  <dcterms:modified xsi:type="dcterms:W3CDTF">2026-06-16T17:03:53Z</dcterms:modified>
  <cp:category/>
  <cp:contentStatus/>
</cp:coreProperties>
</file>