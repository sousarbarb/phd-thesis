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E3A7F1C5-0FAC-4EA1-9249-89F4F4D7F12D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dmap p2pl (M0) vs icp p2pl (M0)" sheetId="11" r:id="rId1"/>
    <sheet name="dmap p2pl vs p2p (M0)" sheetId="1" r:id="rId2"/>
    <sheet name="icp p2pl vs p2p (M0)" sheetId="2" r:id="rId3"/>
    <sheet name="dmap p2pl (M2) vs p2p (M0)" sheetId="3" r:id="rId4"/>
    <sheet name="dmap p2pl (M2) vs p2p (M1)" sheetId="13" r:id="rId5"/>
    <sheet name="dmap p2pl (M2) vs p2pl (M0)" sheetId="4" r:id="rId6"/>
    <sheet name="dmap p2pl (M2) vs icp p2p (M0)" sheetId="10" r:id="rId7"/>
    <sheet name="dmap p2pl (M2) vs icp p2pl (M0)" sheetId="5" r:id="rId8"/>
    <sheet name="dmap p2p (M1) vs p2p (M0)" sheetId="6" r:id="rId9"/>
    <sheet name="dmap p2p (M1) vs p2pl (M0)" sheetId="7" r:id="rId10"/>
    <sheet name="dmap p2p (M1) vs p2pl (M2)" sheetId="12" r:id="rId11"/>
    <sheet name="dmap p2p (M1) vs icp p2p (M0)" sheetId="8" r:id="rId12"/>
    <sheet name="dmap p2p (M1) vs icp p2pl (M0)" sheetId="9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3" l="1" a="1"/>
  <c r="G109" i="13" s="1"/>
  <c r="F109" i="13" a="1"/>
  <c r="F109" i="13" s="1"/>
  <c r="D109" i="13" a="1"/>
  <c r="D109" i="13" s="1"/>
  <c r="C109" i="13" a="1"/>
  <c r="C109" i="13" s="1"/>
  <c r="G108" i="13" a="1"/>
  <c r="G108" i="13" s="1"/>
  <c r="F108" i="13" a="1"/>
  <c r="F108" i="13" s="1"/>
  <c r="D108" i="13" a="1"/>
  <c r="D108" i="13" s="1"/>
  <c r="C108" i="13" a="1"/>
  <c r="C108" i="13" s="1"/>
  <c r="G107" i="13" a="1"/>
  <c r="G107" i="13" s="1"/>
  <c r="F107" i="13" a="1"/>
  <c r="F107" i="13" s="1"/>
  <c r="D107" i="13" a="1"/>
  <c r="D107" i="13" s="1"/>
  <c r="C107" i="13" a="1"/>
  <c r="C107" i="13" s="1"/>
  <c r="G104" i="13"/>
  <c r="F104" i="13"/>
  <c r="D104" i="13"/>
  <c r="C104" i="13"/>
  <c r="G103" i="13"/>
  <c r="F103" i="13"/>
  <c r="D103" i="13"/>
  <c r="C103" i="13"/>
  <c r="G102" i="13"/>
  <c r="F102" i="13"/>
  <c r="D102" i="13"/>
  <c r="C102" i="13"/>
  <c r="G101" i="13"/>
  <c r="F101" i="13"/>
  <c r="D101" i="13"/>
  <c r="C101" i="13"/>
  <c r="G97" i="13" a="1"/>
  <c r="G97" i="13" s="1"/>
  <c r="F97" i="13" a="1"/>
  <c r="F97" i="13" s="1"/>
  <c r="D97" i="13" a="1"/>
  <c r="D97" i="13" s="1"/>
  <c r="C97" i="13" a="1"/>
  <c r="C97" i="13" s="1"/>
  <c r="G96" i="13" a="1"/>
  <c r="G96" i="13" s="1"/>
  <c r="F96" i="13" a="1"/>
  <c r="F96" i="13" s="1"/>
  <c r="D96" i="13" a="1"/>
  <c r="D96" i="13" s="1"/>
  <c r="C96" i="13" a="1"/>
  <c r="C96" i="13" s="1"/>
  <c r="G95" i="13" a="1"/>
  <c r="G95" i="13" s="1"/>
  <c r="F95" i="13" a="1"/>
  <c r="F95" i="13" s="1"/>
  <c r="D95" i="13" a="1"/>
  <c r="D95" i="13" s="1"/>
  <c r="C95" i="13" a="1"/>
  <c r="C95" i="13" s="1"/>
  <c r="G92" i="13"/>
  <c r="F92" i="13"/>
  <c r="D92" i="13"/>
  <c r="C92" i="13"/>
  <c r="G91" i="13"/>
  <c r="F91" i="13"/>
  <c r="D91" i="13"/>
  <c r="C91" i="13"/>
  <c r="G90" i="13"/>
  <c r="F90" i="13"/>
  <c r="D90" i="13"/>
  <c r="C90" i="13"/>
  <c r="G89" i="13"/>
  <c r="F89" i="13"/>
  <c r="D89" i="13"/>
  <c r="C89" i="13"/>
  <c r="G85" i="13" a="1"/>
  <c r="G85" i="13" s="1"/>
  <c r="F85" i="13" a="1"/>
  <c r="F85" i="13" s="1"/>
  <c r="D85" i="13" a="1"/>
  <c r="D85" i="13" s="1"/>
  <c r="C85" i="13" a="1"/>
  <c r="C85" i="13" s="1"/>
  <c r="G84" i="13" a="1"/>
  <c r="G84" i="13" s="1"/>
  <c r="F84" i="13" a="1"/>
  <c r="F84" i="13" s="1"/>
  <c r="D84" i="13" a="1"/>
  <c r="D84" i="13" s="1"/>
  <c r="C84" i="13" a="1"/>
  <c r="C84" i="13" s="1"/>
  <c r="G83" i="13" a="1"/>
  <c r="G83" i="13" s="1"/>
  <c r="F83" i="13" a="1"/>
  <c r="F83" i="13" s="1"/>
  <c r="D83" i="13" a="1"/>
  <c r="D83" i="13" s="1"/>
  <c r="C83" i="13" a="1"/>
  <c r="C83" i="13" s="1"/>
  <c r="G80" i="13"/>
  <c r="F80" i="13"/>
  <c r="D80" i="13"/>
  <c r="C80" i="13"/>
  <c r="G79" i="13"/>
  <c r="F79" i="13"/>
  <c r="D79" i="13"/>
  <c r="C79" i="13"/>
  <c r="G78" i="13"/>
  <c r="F78" i="13"/>
  <c r="D78" i="13"/>
  <c r="C78" i="13"/>
  <c r="G77" i="13"/>
  <c r="F77" i="13"/>
  <c r="D77" i="13"/>
  <c r="C77" i="13"/>
  <c r="S73" i="13"/>
  <c r="R73" i="13"/>
  <c r="P73" i="13"/>
  <c r="O73" i="13"/>
  <c r="M73" i="13"/>
  <c r="L73" i="13"/>
  <c r="J73" i="13"/>
  <c r="I73" i="13"/>
  <c r="G73" i="13"/>
  <c r="F73" i="13"/>
  <c r="D73" i="13"/>
  <c r="C73" i="13"/>
  <c r="S72" i="13"/>
  <c r="R72" i="13"/>
  <c r="P72" i="13"/>
  <c r="O72" i="13"/>
  <c r="M72" i="13"/>
  <c r="L72" i="13"/>
  <c r="J72" i="13"/>
  <c r="I72" i="13"/>
  <c r="G72" i="13"/>
  <c r="F72" i="13"/>
  <c r="D72" i="13"/>
  <c r="C72" i="13"/>
  <c r="S71" i="13"/>
  <c r="R71" i="13"/>
  <c r="P71" i="13"/>
  <c r="O71" i="13"/>
  <c r="M71" i="13"/>
  <c r="L71" i="13"/>
  <c r="J71" i="13"/>
  <c r="I71" i="13"/>
  <c r="G71" i="13"/>
  <c r="F71" i="13"/>
  <c r="D71" i="13"/>
  <c r="C71" i="13"/>
  <c r="S70" i="13"/>
  <c r="R70" i="13"/>
  <c r="P70" i="13"/>
  <c r="O70" i="13"/>
  <c r="M70" i="13"/>
  <c r="L70" i="13"/>
  <c r="J70" i="13"/>
  <c r="I70" i="13"/>
  <c r="G70" i="13"/>
  <c r="F70" i="13"/>
  <c r="D70" i="13"/>
  <c r="C70" i="13"/>
  <c r="S66" i="13"/>
  <c r="R66" i="13"/>
  <c r="P66" i="13"/>
  <c r="O66" i="13"/>
  <c r="M66" i="13"/>
  <c r="L66" i="13"/>
  <c r="J66" i="13"/>
  <c r="I66" i="13"/>
  <c r="G66" i="13"/>
  <c r="F66" i="13"/>
  <c r="D66" i="13"/>
  <c r="C66" i="13"/>
  <c r="S65" i="13"/>
  <c r="R65" i="13"/>
  <c r="P65" i="13"/>
  <c r="O65" i="13"/>
  <c r="M65" i="13"/>
  <c r="L65" i="13"/>
  <c r="J65" i="13"/>
  <c r="I65" i="13"/>
  <c r="G65" i="13"/>
  <c r="F65" i="13"/>
  <c r="D65" i="13"/>
  <c r="C65" i="13"/>
  <c r="S64" i="13"/>
  <c r="R64" i="13"/>
  <c r="P64" i="13"/>
  <c r="O64" i="13"/>
  <c r="M64" i="13"/>
  <c r="L64" i="13"/>
  <c r="J64" i="13"/>
  <c r="I64" i="13"/>
  <c r="G64" i="13"/>
  <c r="F64" i="13"/>
  <c r="D64" i="13"/>
  <c r="C64" i="13"/>
  <c r="S63" i="13"/>
  <c r="R63" i="13"/>
  <c r="P63" i="13"/>
  <c r="O63" i="13"/>
  <c r="M63" i="13"/>
  <c r="L63" i="13"/>
  <c r="J63" i="13"/>
  <c r="I63" i="13"/>
  <c r="G63" i="13"/>
  <c r="F63" i="13"/>
  <c r="D63" i="13"/>
  <c r="C63" i="13"/>
  <c r="S59" i="13"/>
  <c r="R59" i="13"/>
  <c r="P59" i="13"/>
  <c r="O59" i="13"/>
  <c r="M59" i="13"/>
  <c r="L59" i="13"/>
  <c r="J59" i="13"/>
  <c r="I59" i="13"/>
  <c r="G59" i="13"/>
  <c r="F59" i="13"/>
  <c r="D59" i="13"/>
  <c r="C59" i="13"/>
  <c r="S58" i="13"/>
  <c r="R58" i="13"/>
  <c r="P58" i="13"/>
  <c r="O58" i="13"/>
  <c r="M58" i="13"/>
  <c r="L58" i="13"/>
  <c r="J58" i="13"/>
  <c r="I58" i="13"/>
  <c r="G58" i="13"/>
  <c r="F58" i="13"/>
  <c r="D58" i="13"/>
  <c r="C58" i="13"/>
  <c r="S57" i="13"/>
  <c r="R57" i="13"/>
  <c r="P57" i="13"/>
  <c r="O57" i="13"/>
  <c r="M57" i="13"/>
  <c r="L57" i="13"/>
  <c r="J57" i="13"/>
  <c r="I57" i="13"/>
  <c r="G57" i="13"/>
  <c r="F57" i="13"/>
  <c r="D57" i="13"/>
  <c r="C57" i="13"/>
  <c r="S56" i="13"/>
  <c r="R56" i="13"/>
  <c r="P56" i="13"/>
  <c r="O56" i="13"/>
  <c r="M56" i="13"/>
  <c r="L56" i="13"/>
  <c r="J56" i="13"/>
  <c r="I56" i="13"/>
  <c r="G56" i="13"/>
  <c r="F56" i="13"/>
  <c r="D56" i="13"/>
  <c r="C56" i="13"/>
  <c r="T52" i="13"/>
  <c r="Q52" i="13"/>
  <c r="N52" i="13"/>
  <c r="K52" i="13"/>
  <c r="H52" i="13"/>
  <c r="E52" i="13"/>
  <c r="T51" i="13"/>
  <c r="Q51" i="13"/>
  <c r="N51" i="13"/>
  <c r="K51" i="13"/>
  <c r="H51" i="13"/>
  <c r="E51" i="13"/>
  <c r="T50" i="13"/>
  <c r="Q50" i="13"/>
  <c r="N50" i="13"/>
  <c r="K50" i="13"/>
  <c r="H50" i="13"/>
  <c r="E50" i="13"/>
  <c r="T49" i="13"/>
  <c r="Q49" i="13"/>
  <c r="N49" i="13"/>
  <c r="K49" i="13"/>
  <c r="H49" i="13"/>
  <c r="E49" i="13"/>
  <c r="T48" i="13"/>
  <c r="Q48" i="13"/>
  <c r="N48" i="13"/>
  <c r="K48" i="13"/>
  <c r="H48" i="13"/>
  <c r="E48" i="13"/>
  <c r="T47" i="13"/>
  <c r="Q47" i="13"/>
  <c r="N47" i="13"/>
  <c r="K47" i="13"/>
  <c r="H47" i="13"/>
  <c r="E47" i="13"/>
  <c r="T46" i="13"/>
  <c r="Q46" i="13"/>
  <c r="N46" i="13"/>
  <c r="K46" i="13"/>
  <c r="H46" i="13"/>
  <c r="E46" i="13"/>
  <c r="T45" i="13"/>
  <c r="Q45" i="13"/>
  <c r="N45" i="13"/>
  <c r="K45" i="13"/>
  <c r="H45" i="13"/>
  <c r="E45" i="13"/>
  <c r="T44" i="13"/>
  <c r="Q44" i="13"/>
  <c r="N44" i="13"/>
  <c r="K44" i="13"/>
  <c r="H44" i="13"/>
  <c r="E44" i="13"/>
  <c r="T43" i="13"/>
  <c r="Q43" i="13"/>
  <c r="N43" i="13"/>
  <c r="K43" i="13"/>
  <c r="H43" i="13"/>
  <c r="E43" i="13"/>
  <c r="T42" i="13"/>
  <c r="Q42" i="13"/>
  <c r="N42" i="13"/>
  <c r="K42" i="13"/>
  <c r="H42" i="13"/>
  <c r="E42" i="13"/>
  <c r="T41" i="13"/>
  <c r="Q41" i="13"/>
  <c r="N41" i="13"/>
  <c r="K41" i="13"/>
  <c r="H41" i="13"/>
  <c r="E41" i="13"/>
  <c r="T40" i="13"/>
  <c r="Q40" i="13"/>
  <c r="N40" i="13"/>
  <c r="K40" i="13"/>
  <c r="H40" i="13"/>
  <c r="E40" i="13"/>
  <c r="T39" i="13"/>
  <c r="Q39" i="13"/>
  <c r="N39" i="13"/>
  <c r="K39" i="13"/>
  <c r="H39" i="13"/>
  <c r="E39" i="13"/>
  <c r="T38" i="13"/>
  <c r="Q38" i="13"/>
  <c r="N38" i="13"/>
  <c r="K38" i="13"/>
  <c r="H38" i="13"/>
  <c r="E38" i="13"/>
  <c r="T37" i="13"/>
  <c r="Q37" i="13"/>
  <c r="N37" i="13"/>
  <c r="K37" i="13"/>
  <c r="H37" i="13"/>
  <c r="E37" i="13"/>
  <c r="T36" i="13"/>
  <c r="Q36" i="13"/>
  <c r="N36" i="13"/>
  <c r="K36" i="13"/>
  <c r="H36" i="13"/>
  <c r="E36" i="13"/>
  <c r="T35" i="13"/>
  <c r="Q35" i="13"/>
  <c r="N35" i="13"/>
  <c r="K35" i="13"/>
  <c r="H35" i="13"/>
  <c r="E35" i="13"/>
  <c r="T34" i="13"/>
  <c r="Q34" i="13"/>
  <c r="N34" i="13"/>
  <c r="K34" i="13"/>
  <c r="H34" i="13"/>
  <c r="E34" i="13"/>
  <c r="T33" i="13"/>
  <c r="Q33" i="13"/>
  <c r="N33" i="13"/>
  <c r="K33" i="13"/>
  <c r="H33" i="13"/>
  <c r="E33" i="13"/>
  <c r="T32" i="13"/>
  <c r="Q32" i="13"/>
  <c r="N32" i="13"/>
  <c r="K32" i="13"/>
  <c r="H32" i="13"/>
  <c r="E32" i="13"/>
  <c r="T31" i="13"/>
  <c r="Q31" i="13"/>
  <c r="N31" i="13"/>
  <c r="K31" i="13"/>
  <c r="H31" i="13"/>
  <c r="E31" i="13"/>
  <c r="T30" i="13"/>
  <c r="Q30" i="13"/>
  <c r="N30" i="13"/>
  <c r="K30" i="13"/>
  <c r="H30" i="13"/>
  <c r="E30" i="13"/>
  <c r="T29" i="13"/>
  <c r="Q29" i="13"/>
  <c r="N29" i="13"/>
  <c r="K29" i="13"/>
  <c r="H29" i="13"/>
  <c r="E29" i="13"/>
  <c r="T28" i="13"/>
  <c r="Q28" i="13"/>
  <c r="N28" i="13"/>
  <c r="K28" i="13"/>
  <c r="H28" i="13"/>
  <c r="E28" i="13"/>
  <c r="T27" i="13"/>
  <c r="Q27" i="13"/>
  <c r="N27" i="13"/>
  <c r="K27" i="13"/>
  <c r="H27" i="13"/>
  <c r="E27" i="13"/>
  <c r="T26" i="13"/>
  <c r="Q26" i="13"/>
  <c r="N26" i="13"/>
  <c r="K26" i="13"/>
  <c r="H26" i="13"/>
  <c r="E26" i="13"/>
  <c r="T25" i="13"/>
  <c r="Q25" i="13"/>
  <c r="N25" i="13"/>
  <c r="K25" i="13"/>
  <c r="H25" i="13"/>
  <c r="E25" i="13"/>
  <c r="T24" i="13"/>
  <c r="Q24" i="13"/>
  <c r="N24" i="13"/>
  <c r="K24" i="13"/>
  <c r="H24" i="13"/>
  <c r="E24" i="13"/>
  <c r="T23" i="13"/>
  <c r="Q23" i="13"/>
  <c r="N23" i="13"/>
  <c r="K23" i="13"/>
  <c r="H23" i="13"/>
  <c r="E23" i="13"/>
  <c r="T22" i="13"/>
  <c r="Q22" i="13"/>
  <c r="N22" i="13"/>
  <c r="K22" i="13"/>
  <c r="H22" i="13"/>
  <c r="E22" i="13"/>
  <c r="T21" i="13"/>
  <c r="Q21" i="13"/>
  <c r="N21" i="13"/>
  <c r="K21" i="13"/>
  <c r="H21" i="13"/>
  <c r="E21" i="13"/>
  <c r="T20" i="13"/>
  <c r="Q20" i="13"/>
  <c r="N20" i="13"/>
  <c r="K20" i="13"/>
  <c r="H20" i="13"/>
  <c r="E20" i="13"/>
  <c r="T19" i="13"/>
  <c r="Q19" i="13"/>
  <c r="N19" i="13"/>
  <c r="K19" i="13"/>
  <c r="H19" i="13"/>
  <c r="E19" i="13"/>
  <c r="T18" i="13"/>
  <c r="Q18" i="13"/>
  <c r="N18" i="13"/>
  <c r="K18" i="13"/>
  <c r="H18" i="13"/>
  <c r="E18" i="13"/>
  <c r="T17" i="13"/>
  <c r="Q17" i="13"/>
  <c r="N17" i="13"/>
  <c r="K17" i="13"/>
  <c r="H17" i="13"/>
  <c r="E17" i="13"/>
  <c r="T16" i="13"/>
  <c r="Q16" i="13"/>
  <c r="N16" i="13"/>
  <c r="K16" i="13"/>
  <c r="H16" i="13"/>
  <c r="E16" i="13"/>
  <c r="T15" i="13"/>
  <c r="Q15" i="13"/>
  <c r="N15" i="13"/>
  <c r="K15" i="13"/>
  <c r="H15" i="13"/>
  <c r="E15" i="13"/>
  <c r="T14" i="13"/>
  <c r="Q14" i="13"/>
  <c r="N14" i="13"/>
  <c r="K14" i="13"/>
  <c r="H14" i="13"/>
  <c r="E14" i="13"/>
  <c r="T13" i="13"/>
  <c r="Q13" i="13"/>
  <c r="N13" i="13"/>
  <c r="K13" i="13"/>
  <c r="H13" i="13"/>
  <c r="E13" i="13"/>
  <c r="T12" i="13"/>
  <c r="Q12" i="13"/>
  <c r="N12" i="13"/>
  <c r="K12" i="13"/>
  <c r="H12" i="13"/>
  <c r="E12" i="13"/>
  <c r="T11" i="13"/>
  <c r="Q11" i="13"/>
  <c r="N11" i="13"/>
  <c r="K11" i="13"/>
  <c r="H11" i="13"/>
  <c r="E11" i="13"/>
  <c r="T10" i="13"/>
  <c r="Q10" i="13"/>
  <c r="N10" i="13"/>
  <c r="K10" i="13"/>
  <c r="H10" i="13"/>
  <c r="E10" i="13"/>
  <c r="T9" i="13"/>
  <c r="Q9" i="13"/>
  <c r="N9" i="13"/>
  <c r="K9" i="13"/>
  <c r="H9" i="13"/>
  <c r="E9" i="13"/>
  <c r="T8" i="13"/>
  <c r="Q8" i="13"/>
  <c r="N8" i="13"/>
  <c r="K8" i="13"/>
  <c r="H8" i="13"/>
  <c r="E8" i="13"/>
  <c r="T7" i="13"/>
  <c r="Q7" i="13"/>
  <c r="N7" i="13"/>
  <c r="K7" i="13"/>
  <c r="H7" i="13"/>
  <c r="E7" i="13"/>
  <c r="T6" i="13"/>
  <c r="Q6" i="13"/>
  <c r="N6" i="13"/>
  <c r="K6" i="13"/>
  <c r="H6" i="13"/>
  <c r="E6" i="13"/>
  <c r="T5" i="13"/>
  <c r="Q5" i="13"/>
  <c r="N5" i="13"/>
  <c r="K5" i="13"/>
  <c r="H5" i="13"/>
  <c r="E5" i="13"/>
  <c r="J57" i="7"/>
  <c r="G109" i="9" a="1"/>
  <c r="G109" i="9" s="1"/>
  <c r="F109" i="9" a="1"/>
  <c r="F109" i="9" s="1"/>
  <c r="D109" i="9" a="1"/>
  <c r="D109" i="9" s="1"/>
  <c r="C109" i="9" a="1"/>
  <c r="C109" i="9" s="1"/>
  <c r="G108" i="9" a="1"/>
  <c r="G108" i="9" s="1"/>
  <c r="F108" i="9" a="1"/>
  <c r="F108" i="9" s="1"/>
  <c r="D108" i="9" a="1"/>
  <c r="D108" i="9" s="1"/>
  <c r="C108" i="9" a="1"/>
  <c r="C108" i="9" s="1"/>
  <c r="G107" i="9" a="1"/>
  <c r="G107" i="9" s="1"/>
  <c r="F107" i="9" a="1"/>
  <c r="F107" i="9" s="1"/>
  <c r="D107" i="9" a="1"/>
  <c r="D107" i="9" s="1"/>
  <c r="C107" i="9" a="1"/>
  <c r="C107" i="9" s="1"/>
  <c r="G104" i="9"/>
  <c r="F104" i="9"/>
  <c r="D104" i="9"/>
  <c r="C104" i="9"/>
  <c r="G103" i="9"/>
  <c r="F103" i="9"/>
  <c r="D103" i="9"/>
  <c r="C103" i="9"/>
  <c r="G102" i="9"/>
  <c r="F102" i="9"/>
  <c r="D102" i="9"/>
  <c r="C102" i="9"/>
  <c r="G101" i="9"/>
  <c r="F101" i="9"/>
  <c r="D101" i="9"/>
  <c r="C101" i="9"/>
  <c r="G97" i="9" a="1"/>
  <c r="G97" i="9" s="1"/>
  <c r="F97" i="9" a="1"/>
  <c r="F97" i="9" s="1"/>
  <c r="D97" i="9" a="1"/>
  <c r="D97" i="9" s="1"/>
  <c r="C97" i="9" a="1"/>
  <c r="C97" i="9" s="1"/>
  <c r="G96" i="9" a="1"/>
  <c r="G96" i="9" s="1"/>
  <c r="F96" i="9" a="1"/>
  <c r="F96" i="9" s="1"/>
  <c r="D96" i="9" a="1"/>
  <c r="D96" i="9" s="1"/>
  <c r="C96" i="9" a="1"/>
  <c r="C96" i="9" s="1"/>
  <c r="G95" i="9" a="1"/>
  <c r="G95" i="9" s="1"/>
  <c r="F95" i="9" a="1"/>
  <c r="F95" i="9" s="1"/>
  <c r="D95" i="9" a="1"/>
  <c r="D95" i="9" s="1"/>
  <c r="C95" i="9" a="1"/>
  <c r="C95" i="9" s="1"/>
  <c r="G92" i="9"/>
  <c r="F92" i="9"/>
  <c r="D92" i="9"/>
  <c r="C92" i="9"/>
  <c r="G91" i="9"/>
  <c r="F91" i="9"/>
  <c r="D91" i="9"/>
  <c r="C91" i="9"/>
  <c r="G90" i="9"/>
  <c r="F90" i="9"/>
  <c r="D90" i="9"/>
  <c r="C90" i="9"/>
  <c r="G89" i="9"/>
  <c r="F89" i="9"/>
  <c r="D89" i="9"/>
  <c r="C89" i="9"/>
  <c r="G85" i="9" a="1"/>
  <c r="G85" i="9" s="1"/>
  <c r="F85" i="9" a="1"/>
  <c r="F85" i="9" s="1"/>
  <c r="D85" i="9" a="1"/>
  <c r="D85" i="9" s="1"/>
  <c r="C85" i="9" a="1"/>
  <c r="C85" i="9" s="1"/>
  <c r="G84" i="9" a="1"/>
  <c r="G84" i="9" s="1"/>
  <c r="F84" i="9" a="1"/>
  <c r="F84" i="9" s="1"/>
  <c r="D84" i="9" a="1"/>
  <c r="D84" i="9" s="1"/>
  <c r="C84" i="9" a="1"/>
  <c r="C84" i="9" s="1"/>
  <c r="G83" i="9" a="1"/>
  <c r="G83" i="9" s="1"/>
  <c r="F83" i="9" a="1"/>
  <c r="F83" i="9" s="1"/>
  <c r="D83" i="9" a="1"/>
  <c r="D83" i="9" s="1"/>
  <c r="C83" i="9" a="1"/>
  <c r="C83" i="9" s="1"/>
  <c r="G80" i="9"/>
  <c r="F80" i="9"/>
  <c r="D80" i="9"/>
  <c r="C80" i="9"/>
  <c r="G79" i="9"/>
  <c r="F79" i="9"/>
  <c r="D79" i="9"/>
  <c r="C79" i="9"/>
  <c r="G78" i="9"/>
  <c r="F78" i="9"/>
  <c r="D78" i="9"/>
  <c r="C78" i="9"/>
  <c r="G77" i="9"/>
  <c r="F77" i="9"/>
  <c r="D77" i="9"/>
  <c r="C77" i="9"/>
  <c r="S73" i="9"/>
  <c r="R73" i="9"/>
  <c r="P73" i="9"/>
  <c r="O73" i="9"/>
  <c r="M73" i="9"/>
  <c r="L73" i="9"/>
  <c r="J73" i="9"/>
  <c r="I73" i="9"/>
  <c r="G73" i="9"/>
  <c r="F73" i="9"/>
  <c r="D73" i="9"/>
  <c r="C73" i="9"/>
  <c r="S72" i="9"/>
  <c r="R72" i="9"/>
  <c r="P72" i="9"/>
  <c r="O72" i="9"/>
  <c r="M72" i="9"/>
  <c r="L72" i="9"/>
  <c r="J72" i="9"/>
  <c r="I72" i="9"/>
  <c r="G72" i="9"/>
  <c r="F72" i="9"/>
  <c r="D72" i="9"/>
  <c r="C72" i="9"/>
  <c r="S71" i="9"/>
  <c r="R71" i="9"/>
  <c r="P71" i="9"/>
  <c r="O71" i="9"/>
  <c r="M71" i="9"/>
  <c r="L71" i="9"/>
  <c r="J71" i="9"/>
  <c r="I71" i="9"/>
  <c r="G71" i="9"/>
  <c r="F71" i="9"/>
  <c r="D71" i="9"/>
  <c r="C71" i="9"/>
  <c r="S70" i="9"/>
  <c r="R70" i="9"/>
  <c r="P70" i="9"/>
  <c r="O70" i="9"/>
  <c r="M70" i="9"/>
  <c r="L70" i="9"/>
  <c r="J70" i="9"/>
  <c r="I70" i="9"/>
  <c r="G70" i="9"/>
  <c r="F70" i="9"/>
  <c r="D70" i="9"/>
  <c r="C70" i="9"/>
  <c r="S66" i="9"/>
  <c r="R66" i="9"/>
  <c r="P66" i="9"/>
  <c r="O66" i="9"/>
  <c r="M66" i="9"/>
  <c r="L66" i="9"/>
  <c r="J66" i="9"/>
  <c r="I66" i="9"/>
  <c r="G66" i="9"/>
  <c r="F66" i="9"/>
  <c r="D66" i="9"/>
  <c r="C66" i="9"/>
  <c r="S65" i="9"/>
  <c r="R65" i="9"/>
  <c r="P65" i="9"/>
  <c r="O65" i="9"/>
  <c r="M65" i="9"/>
  <c r="L65" i="9"/>
  <c r="J65" i="9"/>
  <c r="I65" i="9"/>
  <c r="G65" i="9"/>
  <c r="F65" i="9"/>
  <c r="D65" i="9"/>
  <c r="C65" i="9"/>
  <c r="S64" i="9"/>
  <c r="R64" i="9"/>
  <c r="P64" i="9"/>
  <c r="O64" i="9"/>
  <c r="M64" i="9"/>
  <c r="L64" i="9"/>
  <c r="J64" i="9"/>
  <c r="I64" i="9"/>
  <c r="G64" i="9"/>
  <c r="F64" i="9"/>
  <c r="D64" i="9"/>
  <c r="C64" i="9"/>
  <c r="S63" i="9"/>
  <c r="R63" i="9"/>
  <c r="P63" i="9"/>
  <c r="O63" i="9"/>
  <c r="M63" i="9"/>
  <c r="L63" i="9"/>
  <c r="J63" i="9"/>
  <c r="I63" i="9"/>
  <c r="G63" i="9"/>
  <c r="F63" i="9"/>
  <c r="D63" i="9"/>
  <c r="C63" i="9"/>
  <c r="S59" i="9"/>
  <c r="R59" i="9"/>
  <c r="P59" i="9"/>
  <c r="O59" i="9"/>
  <c r="M59" i="9"/>
  <c r="L59" i="9"/>
  <c r="J59" i="9"/>
  <c r="I59" i="9"/>
  <c r="G59" i="9"/>
  <c r="F59" i="9"/>
  <c r="D59" i="9"/>
  <c r="C59" i="9"/>
  <c r="S58" i="9"/>
  <c r="R58" i="9"/>
  <c r="P58" i="9"/>
  <c r="O58" i="9"/>
  <c r="M58" i="9"/>
  <c r="L58" i="9"/>
  <c r="J58" i="9"/>
  <c r="I58" i="9"/>
  <c r="G58" i="9"/>
  <c r="F58" i="9"/>
  <c r="D58" i="9"/>
  <c r="C58" i="9"/>
  <c r="S57" i="9"/>
  <c r="R57" i="9"/>
  <c r="P57" i="9"/>
  <c r="O57" i="9"/>
  <c r="M57" i="9"/>
  <c r="L57" i="9"/>
  <c r="J57" i="9"/>
  <c r="I57" i="9"/>
  <c r="G57" i="9"/>
  <c r="F57" i="9"/>
  <c r="D57" i="9"/>
  <c r="C57" i="9"/>
  <c r="S56" i="9"/>
  <c r="R56" i="9"/>
  <c r="P56" i="9"/>
  <c r="O56" i="9"/>
  <c r="M56" i="9"/>
  <c r="L56" i="9"/>
  <c r="J56" i="9"/>
  <c r="I56" i="9"/>
  <c r="G56" i="9"/>
  <c r="F56" i="9"/>
  <c r="D56" i="9"/>
  <c r="C56" i="9"/>
  <c r="G109" i="8" a="1"/>
  <c r="G109" i="8" s="1"/>
  <c r="F109" i="8" a="1"/>
  <c r="F109" i="8" s="1"/>
  <c r="D109" i="8" a="1"/>
  <c r="D109" i="8" s="1"/>
  <c r="C109" i="8" a="1"/>
  <c r="C109" i="8" s="1"/>
  <c r="G108" i="8" a="1"/>
  <c r="G108" i="8" s="1"/>
  <c r="F108" i="8" a="1"/>
  <c r="F108" i="8" s="1"/>
  <c r="D108" i="8" a="1"/>
  <c r="D108" i="8" s="1"/>
  <c r="C108" i="8" a="1"/>
  <c r="C108" i="8" s="1"/>
  <c r="G107" i="8" a="1"/>
  <c r="G107" i="8" s="1"/>
  <c r="F107" i="8" a="1"/>
  <c r="F107" i="8" s="1"/>
  <c r="D107" i="8" a="1"/>
  <c r="D107" i="8" s="1"/>
  <c r="C107" i="8" a="1"/>
  <c r="C107" i="8" s="1"/>
  <c r="G104" i="8"/>
  <c r="F104" i="8"/>
  <c r="D104" i="8"/>
  <c r="C104" i="8"/>
  <c r="G103" i="8"/>
  <c r="F103" i="8"/>
  <c r="D103" i="8"/>
  <c r="C103" i="8"/>
  <c r="G102" i="8"/>
  <c r="F102" i="8"/>
  <c r="D102" i="8"/>
  <c r="C102" i="8"/>
  <c r="G101" i="8"/>
  <c r="F101" i="8"/>
  <c r="D101" i="8"/>
  <c r="C101" i="8"/>
  <c r="G97" i="8" a="1"/>
  <c r="G97" i="8" s="1"/>
  <c r="F97" i="8" a="1"/>
  <c r="F97" i="8" s="1"/>
  <c r="D97" i="8" a="1"/>
  <c r="D97" i="8" s="1"/>
  <c r="C97" i="8" a="1"/>
  <c r="C97" i="8" s="1"/>
  <c r="G96" i="8" a="1"/>
  <c r="G96" i="8" s="1"/>
  <c r="F96" i="8" a="1"/>
  <c r="F96" i="8" s="1"/>
  <c r="D96" i="8" a="1"/>
  <c r="D96" i="8" s="1"/>
  <c r="C96" i="8" a="1"/>
  <c r="C96" i="8" s="1"/>
  <c r="G95" i="8" a="1"/>
  <c r="G95" i="8" s="1"/>
  <c r="F95" i="8" a="1"/>
  <c r="F95" i="8" s="1"/>
  <c r="D95" i="8" a="1"/>
  <c r="D95" i="8" s="1"/>
  <c r="C95" i="8" a="1"/>
  <c r="C95" i="8" s="1"/>
  <c r="G92" i="8"/>
  <c r="F92" i="8"/>
  <c r="D92" i="8"/>
  <c r="C92" i="8"/>
  <c r="G91" i="8"/>
  <c r="F91" i="8"/>
  <c r="D91" i="8"/>
  <c r="C91" i="8"/>
  <c r="G90" i="8"/>
  <c r="F90" i="8"/>
  <c r="D90" i="8"/>
  <c r="C90" i="8"/>
  <c r="G89" i="8"/>
  <c r="F89" i="8"/>
  <c r="D89" i="8"/>
  <c r="C89" i="8"/>
  <c r="G85" i="8" a="1"/>
  <c r="G85" i="8" s="1"/>
  <c r="F85" i="8" a="1"/>
  <c r="F85" i="8" s="1"/>
  <c r="D85" i="8" a="1"/>
  <c r="D85" i="8" s="1"/>
  <c r="C85" i="8" a="1"/>
  <c r="C85" i="8" s="1"/>
  <c r="G84" i="8" a="1"/>
  <c r="G84" i="8" s="1"/>
  <c r="F84" i="8" a="1"/>
  <c r="F84" i="8" s="1"/>
  <c r="D84" i="8" a="1"/>
  <c r="D84" i="8" s="1"/>
  <c r="C84" i="8" a="1"/>
  <c r="C84" i="8" s="1"/>
  <c r="G83" i="8" a="1"/>
  <c r="G83" i="8" s="1"/>
  <c r="F83" i="8" a="1"/>
  <c r="F83" i="8" s="1"/>
  <c r="D83" i="8" a="1"/>
  <c r="D83" i="8" s="1"/>
  <c r="C83" i="8" a="1"/>
  <c r="C83" i="8" s="1"/>
  <c r="G80" i="8"/>
  <c r="F80" i="8"/>
  <c r="D80" i="8"/>
  <c r="C80" i="8"/>
  <c r="G79" i="8"/>
  <c r="F79" i="8"/>
  <c r="D79" i="8"/>
  <c r="C79" i="8"/>
  <c r="G78" i="8"/>
  <c r="F78" i="8"/>
  <c r="D78" i="8"/>
  <c r="C78" i="8"/>
  <c r="G77" i="8"/>
  <c r="F77" i="8"/>
  <c r="D77" i="8"/>
  <c r="C77" i="8"/>
  <c r="S73" i="8"/>
  <c r="R73" i="8"/>
  <c r="P73" i="8"/>
  <c r="O73" i="8"/>
  <c r="M73" i="8"/>
  <c r="L73" i="8"/>
  <c r="J73" i="8"/>
  <c r="I73" i="8"/>
  <c r="G73" i="8"/>
  <c r="F73" i="8"/>
  <c r="D73" i="8"/>
  <c r="C73" i="8"/>
  <c r="S72" i="8"/>
  <c r="R72" i="8"/>
  <c r="P72" i="8"/>
  <c r="O72" i="8"/>
  <c r="M72" i="8"/>
  <c r="L72" i="8"/>
  <c r="J72" i="8"/>
  <c r="I72" i="8"/>
  <c r="G72" i="8"/>
  <c r="F72" i="8"/>
  <c r="D72" i="8"/>
  <c r="C72" i="8"/>
  <c r="S71" i="8"/>
  <c r="R71" i="8"/>
  <c r="P71" i="8"/>
  <c r="O71" i="8"/>
  <c r="M71" i="8"/>
  <c r="L71" i="8"/>
  <c r="J71" i="8"/>
  <c r="I71" i="8"/>
  <c r="G71" i="8"/>
  <c r="F71" i="8"/>
  <c r="D71" i="8"/>
  <c r="C71" i="8"/>
  <c r="S70" i="8"/>
  <c r="R70" i="8"/>
  <c r="P70" i="8"/>
  <c r="O70" i="8"/>
  <c r="M70" i="8"/>
  <c r="L70" i="8"/>
  <c r="J70" i="8"/>
  <c r="I70" i="8"/>
  <c r="G70" i="8"/>
  <c r="F70" i="8"/>
  <c r="D70" i="8"/>
  <c r="C70" i="8"/>
  <c r="S66" i="8"/>
  <c r="R66" i="8"/>
  <c r="P66" i="8"/>
  <c r="O66" i="8"/>
  <c r="M66" i="8"/>
  <c r="L66" i="8"/>
  <c r="J66" i="8"/>
  <c r="I66" i="8"/>
  <c r="G66" i="8"/>
  <c r="F66" i="8"/>
  <c r="D66" i="8"/>
  <c r="C66" i="8"/>
  <c r="S65" i="8"/>
  <c r="R65" i="8"/>
  <c r="P65" i="8"/>
  <c r="O65" i="8"/>
  <c r="M65" i="8"/>
  <c r="L65" i="8"/>
  <c r="J65" i="8"/>
  <c r="I65" i="8"/>
  <c r="G65" i="8"/>
  <c r="F65" i="8"/>
  <c r="D65" i="8"/>
  <c r="C65" i="8"/>
  <c r="S64" i="8"/>
  <c r="R64" i="8"/>
  <c r="P64" i="8"/>
  <c r="O64" i="8"/>
  <c r="M64" i="8"/>
  <c r="L64" i="8"/>
  <c r="J64" i="8"/>
  <c r="I64" i="8"/>
  <c r="G64" i="8"/>
  <c r="F64" i="8"/>
  <c r="D64" i="8"/>
  <c r="C64" i="8"/>
  <c r="S63" i="8"/>
  <c r="R63" i="8"/>
  <c r="P63" i="8"/>
  <c r="O63" i="8"/>
  <c r="M63" i="8"/>
  <c r="L63" i="8"/>
  <c r="J63" i="8"/>
  <c r="I63" i="8"/>
  <c r="G63" i="8"/>
  <c r="F63" i="8"/>
  <c r="D63" i="8"/>
  <c r="C63" i="8"/>
  <c r="S59" i="8"/>
  <c r="R59" i="8"/>
  <c r="P59" i="8"/>
  <c r="O59" i="8"/>
  <c r="M59" i="8"/>
  <c r="L59" i="8"/>
  <c r="J59" i="8"/>
  <c r="I59" i="8"/>
  <c r="G59" i="8"/>
  <c r="F59" i="8"/>
  <c r="D59" i="8"/>
  <c r="C59" i="8"/>
  <c r="S58" i="8"/>
  <c r="R58" i="8"/>
  <c r="P58" i="8"/>
  <c r="O58" i="8"/>
  <c r="M58" i="8"/>
  <c r="L58" i="8"/>
  <c r="J58" i="8"/>
  <c r="I58" i="8"/>
  <c r="G58" i="8"/>
  <c r="F58" i="8"/>
  <c r="D58" i="8"/>
  <c r="C58" i="8"/>
  <c r="S57" i="8"/>
  <c r="R57" i="8"/>
  <c r="P57" i="8"/>
  <c r="O57" i="8"/>
  <c r="M57" i="8"/>
  <c r="L57" i="8"/>
  <c r="J57" i="8"/>
  <c r="I57" i="8"/>
  <c r="G57" i="8"/>
  <c r="F57" i="8"/>
  <c r="D57" i="8"/>
  <c r="C57" i="8"/>
  <c r="S56" i="8"/>
  <c r="R56" i="8"/>
  <c r="P56" i="8"/>
  <c r="O56" i="8"/>
  <c r="M56" i="8"/>
  <c r="L56" i="8"/>
  <c r="J56" i="8"/>
  <c r="I56" i="8"/>
  <c r="G56" i="8"/>
  <c r="F56" i="8"/>
  <c r="D56" i="8"/>
  <c r="C56" i="8"/>
  <c r="G109" i="12" a="1"/>
  <c r="G109" i="12" s="1"/>
  <c r="F109" i="12" a="1"/>
  <c r="F109" i="12" s="1"/>
  <c r="D109" i="12" a="1"/>
  <c r="D109" i="12" s="1"/>
  <c r="C109" i="12" a="1"/>
  <c r="C109" i="12" s="1"/>
  <c r="G108" i="12" a="1"/>
  <c r="G108" i="12" s="1"/>
  <c r="F108" i="12" a="1"/>
  <c r="F108" i="12" s="1"/>
  <c r="D108" i="12" a="1"/>
  <c r="D108" i="12" s="1"/>
  <c r="C108" i="12" a="1"/>
  <c r="C108" i="12" s="1"/>
  <c r="G107" i="12" a="1"/>
  <c r="G107" i="12" s="1"/>
  <c r="F107" i="12" a="1"/>
  <c r="F107" i="12" s="1"/>
  <c r="D107" i="12" a="1"/>
  <c r="D107" i="12" s="1"/>
  <c r="C107" i="12" a="1"/>
  <c r="C107" i="12" s="1"/>
  <c r="G104" i="12"/>
  <c r="F104" i="12"/>
  <c r="D104" i="12"/>
  <c r="C104" i="12"/>
  <c r="G103" i="12"/>
  <c r="F103" i="12"/>
  <c r="D103" i="12"/>
  <c r="C103" i="12"/>
  <c r="G102" i="12"/>
  <c r="F102" i="12"/>
  <c r="D102" i="12"/>
  <c r="C102" i="12"/>
  <c r="G101" i="12"/>
  <c r="F101" i="12"/>
  <c r="D101" i="12"/>
  <c r="C101" i="12"/>
  <c r="G97" i="12" a="1"/>
  <c r="G97" i="12" s="1"/>
  <c r="F97" i="12" a="1"/>
  <c r="F97" i="12" s="1"/>
  <c r="D97" i="12" a="1"/>
  <c r="D97" i="12" s="1"/>
  <c r="C97" i="12" a="1"/>
  <c r="C97" i="12" s="1"/>
  <c r="G96" i="12" a="1"/>
  <c r="G96" i="12" s="1"/>
  <c r="F96" i="12" a="1"/>
  <c r="F96" i="12" s="1"/>
  <c r="D96" i="12" a="1"/>
  <c r="D96" i="12" s="1"/>
  <c r="C96" i="12" a="1"/>
  <c r="C96" i="12" s="1"/>
  <c r="G95" i="12" a="1"/>
  <c r="G95" i="12" s="1"/>
  <c r="F95" i="12" a="1"/>
  <c r="F95" i="12" s="1"/>
  <c r="D95" i="12" a="1"/>
  <c r="D95" i="12" s="1"/>
  <c r="C95" i="12" a="1"/>
  <c r="C95" i="12" s="1"/>
  <c r="G92" i="12"/>
  <c r="F92" i="12"/>
  <c r="D92" i="12"/>
  <c r="C92" i="12"/>
  <c r="G91" i="12"/>
  <c r="F91" i="12"/>
  <c r="D91" i="12"/>
  <c r="C91" i="12"/>
  <c r="G90" i="12"/>
  <c r="F90" i="12"/>
  <c r="D90" i="12"/>
  <c r="C90" i="12"/>
  <c r="G89" i="12"/>
  <c r="F89" i="12"/>
  <c r="D89" i="12"/>
  <c r="C89" i="12"/>
  <c r="G85" i="12" a="1"/>
  <c r="G85" i="12" s="1"/>
  <c r="F85" i="12" a="1"/>
  <c r="F85" i="12" s="1"/>
  <c r="D85" i="12" a="1"/>
  <c r="D85" i="12" s="1"/>
  <c r="C85" i="12" a="1"/>
  <c r="C85" i="12" s="1"/>
  <c r="G84" i="12" a="1"/>
  <c r="G84" i="12" s="1"/>
  <c r="F84" i="12" a="1"/>
  <c r="F84" i="12" s="1"/>
  <c r="D84" i="12" a="1"/>
  <c r="D84" i="12" s="1"/>
  <c r="C84" i="12" a="1"/>
  <c r="C84" i="12" s="1"/>
  <c r="G83" i="12" a="1"/>
  <c r="G83" i="12" s="1"/>
  <c r="F83" i="12" a="1"/>
  <c r="F83" i="12" s="1"/>
  <c r="D83" i="12" a="1"/>
  <c r="D83" i="12" s="1"/>
  <c r="C83" i="12" a="1"/>
  <c r="C83" i="12" s="1"/>
  <c r="G80" i="12"/>
  <c r="F80" i="12"/>
  <c r="D80" i="12"/>
  <c r="C80" i="12"/>
  <c r="G79" i="12"/>
  <c r="F79" i="12"/>
  <c r="D79" i="12"/>
  <c r="C79" i="12"/>
  <c r="G78" i="12"/>
  <c r="F78" i="12"/>
  <c r="D78" i="12"/>
  <c r="C78" i="12"/>
  <c r="G77" i="12"/>
  <c r="F77" i="12"/>
  <c r="D77" i="12"/>
  <c r="C77" i="12"/>
  <c r="S73" i="12"/>
  <c r="R73" i="12"/>
  <c r="P73" i="12"/>
  <c r="O73" i="12"/>
  <c r="M73" i="12"/>
  <c r="L73" i="12"/>
  <c r="J73" i="12"/>
  <c r="I73" i="12"/>
  <c r="G73" i="12"/>
  <c r="F73" i="12"/>
  <c r="D73" i="12"/>
  <c r="C73" i="12"/>
  <c r="S72" i="12"/>
  <c r="R72" i="12"/>
  <c r="P72" i="12"/>
  <c r="O72" i="12"/>
  <c r="M72" i="12"/>
  <c r="L72" i="12"/>
  <c r="J72" i="12"/>
  <c r="I72" i="12"/>
  <c r="G72" i="12"/>
  <c r="F72" i="12"/>
  <c r="D72" i="12"/>
  <c r="C72" i="12"/>
  <c r="S71" i="12"/>
  <c r="R71" i="12"/>
  <c r="P71" i="12"/>
  <c r="O71" i="12"/>
  <c r="M71" i="12"/>
  <c r="L71" i="12"/>
  <c r="J71" i="12"/>
  <c r="I71" i="12"/>
  <c r="G71" i="12"/>
  <c r="F71" i="12"/>
  <c r="D71" i="12"/>
  <c r="C71" i="12"/>
  <c r="S70" i="12"/>
  <c r="R70" i="12"/>
  <c r="P70" i="12"/>
  <c r="O70" i="12"/>
  <c r="M70" i="12"/>
  <c r="L70" i="12"/>
  <c r="J70" i="12"/>
  <c r="I70" i="12"/>
  <c r="G70" i="12"/>
  <c r="F70" i="12"/>
  <c r="D70" i="12"/>
  <c r="C70" i="12"/>
  <c r="S66" i="12"/>
  <c r="R66" i="12"/>
  <c r="P66" i="12"/>
  <c r="O66" i="12"/>
  <c r="M66" i="12"/>
  <c r="L66" i="12"/>
  <c r="J66" i="12"/>
  <c r="I66" i="12"/>
  <c r="G66" i="12"/>
  <c r="F66" i="12"/>
  <c r="D66" i="12"/>
  <c r="C66" i="12"/>
  <c r="S65" i="12"/>
  <c r="R65" i="12"/>
  <c r="P65" i="12"/>
  <c r="O65" i="12"/>
  <c r="M65" i="12"/>
  <c r="L65" i="12"/>
  <c r="J65" i="12"/>
  <c r="I65" i="12"/>
  <c r="G65" i="12"/>
  <c r="F65" i="12"/>
  <c r="D65" i="12"/>
  <c r="C65" i="12"/>
  <c r="S64" i="12"/>
  <c r="R64" i="12"/>
  <c r="P64" i="12"/>
  <c r="O64" i="12"/>
  <c r="M64" i="12"/>
  <c r="L64" i="12"/>
  <c r="J64" i="12"/>
  <c r="I64" i="12"/>
  <c r="G64" i="12"/>
  <c r="F64" i="12"/>
  <c r="D64" i="12"/>
  <c r="C64" i="12"/>
  <c r="S63" i="12"/>
  <c r="R63" i="12"/>
  <c r="P63" i="12"/>
  <c r="O63" i="12"/>
  <c r="M63" i="12"/>
  <c r="L63" i="12"/>
  <c r="J63" i="12"/>
  <c r="I63" i="12"/>
  <c r="G63" i="12"/>
  <c r="F63" i="12"/>
  <c r="D63" i="12"/>
  <c r="C63" i="12"/>
  <c r="S59" i="12"/>
  <c r="R59" i="12"/>
  <c r="P59" i="12"/>
  <c r="O59" i="12"/>
  <c r="M59" i="12"/>
  <c r="L59" i="12"/>
  <c r="J59" i="12"/>
  <c r="I59" i="12"/>
  <c r="G59" i="12"/>
  <c r="F59" i="12"/>
  <c r="D59" i="12"/>
  <c r="C59" i="12"/>
  <c r="S58" i="12"/>
  <c r="R58" i="12"/>
  <c r="P58" i="12"/>
  <c r="O58" i="12"/>
  <c r="M58" i="12"/>
  <c r="L58" i="12"/>
  <c r="J58" i="12"/>
  <c r="I58" i="12"/>
  <c r="G58" i="12"/>
  <c r="F58" i="12"/>
  <c r="D58" i="12"/>
  <c r="C58" i="12"/>
  <c r="S57" i="12"/>
  <c r="R57" i="12"/>
  <c r="P57" i="12"/>
  <c r="O57" i="12"/>
  <c r="M57" i="12"/>
  <c r="L57" i="12"/>
  <c r="J57" i="12"/>
  <c r="I57" i="12"/>
  <c r="G57" i="12"/>
  <c r="F57" i="12"/>
  <c r="D57" i="12"/>
  <c r="C57" i="12"/>
  <c r="S56" i="12"/>
  <c r="R56" i="12"/>
  <c r="P56" i="12"/>
  <c r="O56" i="12"/>
  <c r="M56" i="12"/>
  <c r="L56" i="12"/>
  <c r="J56" i="12"/>
  <c r="I56" i="12"/>
  <c r="G56" i="12"/>
  <c r="F56" i="12"/>
  <c r="D56" i="12"/>
  <c r="C56" i="12"/>
  <c r="G109" i="7" a="1"/>
  <c r="G109" i="7" s="1"/>
  <c r="F109" i="7" a="1"/>
  <c r="F109" i="7" s="1"/>
  <c r="D109" i="7" a="1"/>
  <c r="D109" i="7" s="1"/>
  <c r="C109" i="7" a="1"/>
  <c r="C109" i="7" s="1"/>
  <c r="G108" i="7" a="1"/>
  <c r="G108" i="7" s="1"/>
  <c r="F108" i="7" a="1"/>
  <c r="F108" i="7" s="1"/>
  <c r="D108" i="7" a="1"/>
  <c r="D108" i="7" s="1"/>
  <c r="C108" i="7" a="1"/>
  <c r="C108" i="7" s="1"/>
  <c r="G107" i="7" a="1"/>
  <c r="G107" i="7" s="1"/>
  <c r="F107" i="7" a="1"/>
  <c r="F107" i="7" s="1"/>
  <c r="D107" i="7" a="1"/>
  <c r="D107" i="7" s="1"/>
  <c r="C107" i="7" a="1"/>
  <c r="C107" i="7" s="1"/>
  <c r="G104" i="7"/>
  <c r="F104" i="7"/>
  <c r="D104" i="7"/>
  <c r="C104" i="7"/>
  <c r="G103" i="7"/>
  <c r="F103" i="7"/>
  <c r="D103" i="7"/>
  <c r="C103" i="7"/>
  <c r="G102" i="7"/>
  <c r="F102" i="7"/>
  <c r="D102" i="7"/>
  <c r="C102" i="7"/>
  <c r="G101" i="7"/>
  <c r="F101" i="7"/>
  <c r="D101" i="7"/>
  <c r="C101" i="7"/>
  <c r="G97" i="7" a="1"/>
  <c r="G97" i="7" s="1"/>
  <c r="F97" i="7" a="1"/>
  <c r="F97" i="7" s="1"/>
  <c r="D97" i="7" a="1"/>
  <c r="D97" i="7" s="1"/>
  <c r="C97" i="7" a="1"/>
  <c r="C97" i="7" s="1"/>
  <c r="G96" i="7" a="1"/>
  <c r="G96" i="7" s="1"/>
  <c r="F96" i="7" a="1"/>
  <c r="F96" i="7" s="1"/>
  <c r="D96" i="7" a="1"/>
  <c r="D96" i="7" s="1"/>
  <c r="C96" i="7" a="1"/>
  <c r="C96" i="7" s="1"/>
  <c r="G95" i="7" a="1"/>
  <c r="G95" i="7" s="1"/>
  <c r="F95" i="7" a="1"/>
  <c r="F95" i="7" s="1"/>
  <c r="D95" i="7" a="1"/>
  <c r="D95" i="7" s="1"/>
  <c r="C95" i="7" a="1"/>
  <c r="C95" i="7" s="1"/>
  <c r="G92" i="7"/>
  <c r="F92" i="7"/>
  <c r="D92" i="7"/>
  <c r="C92" i="7"/>
  <c r="G91" i="7"/>
  <c r="F91" i="7"/>
  <c r="D91" i="7"/>
  <c r="C91" i="7"/>
  <c r="G90" i="7"/>
  <c r="F90" i="7"/>
  <c r="D90" i="7"/>
  <c r="C90" i="7"/>
  <c r="G89" i="7"/>
  <c r="F89" i="7"/>
  <c r="D89" i="7"/>
  <c r="C89" i="7"/>
  <c r="G85" i="7" a="1"/>
  <c r="G85" i="7" s="1"/>
  <c r="F85" i="7" a="1"/>
  <c r="F85" i="7" s="1"/>
  <c r="D85" i="7" a="1"/>
  <c r="D85" i="7" s="1"/>
  <c r="C85" i="7" a="1"/>
  <c r="C85" i="7" s="1"/>
  <c r="G84" i="7" a="1"/>
  <c r="G84" i="7" s="1"/>
  <c r="F84" i="7" a="1"/>
  <c r="F84" i="7" s="1"/>
  <c r="D84" i="7" a="1"/>
  <c r="D84" i="7" s="1"/>
  <c r="C84" i="7" a="1"/>
  <c r="C84" i="7" s="1"/>
  <c r="G83" i="7" a="1"/>
  <c r="G83" i="7" s="1"/>
  <c r="F83" i="7" a="1"/>
  <c r="F83" i="7" s="1"/>
  <c r="D83" i="7" a="1"/>
  <c r="D83" i="7" s="1"/>
  <c r="C83" i="7" a="1"/>
  <c r="C83" i="7" s="1"/>
  <c r="G80" i="7"/>
  <c r="F80" i="7"/>
  <c r="D80" i="7"/>
  <c r="C80" i="7"/>
  <c r="G79" i="7"/>
  <c r="F79" i="7"/>
  <c r="D79" i="7"/>
  <c r="C79" i="7"/>
  <c r="G78" i="7"/>
  <c r="F78" i="7"/>
  <c r="D78" i="7"/>
  <c r="C78" i="7"/>
  <c r="G77" i="7"/>
  <c r="F77" i="7"/>
  <c r="D77" i="7"/>
  <c r="C77" i="7"/>
  <c r="S73" i="7"/>
  <c r="R73" i="7"/>
  <c r="P73" i="7"/>
  <c r="O73" i="7"/>
  <c r="M73" i="7"/>
  <c r="L73" i="7"/>
  <c r="J73" i="7"/>
  <c r="I73" i="7"/>
  <c r="G73" i="7"/>
  <c r="F73" i="7"/>
  <c r="D73" i="7"/>
  <c r="C73" i="7"/>
  <c r="S72" i="7"/>
  <c r="R72" i="7"/>
  <c r="P72" i="7"/>
  <c r="O72" i="7"/>
  <c r="M72" i="7"/>
  <c r="L72" i="7"/>
  <c r="J72" i="7"/>
  <c r="I72" i="7"/>
  <c r="G72" i="7"/>
  <c r="F72" i="7"/>
  <c r="D72" i="7"/>
  <c r="C72" i="7"/>
  <c r="S71" i="7"/>
  <c r="R71" i="7"/>
  <c r="P71" i="7"/>
  <c r="O71" i="7"/>
  <c r="M71" i="7"/>
  <c r="L71" i="7"/>
  <c r="J71" i="7"/>
  <c r="I71" i="7"/>
  <c r="G71" i="7"/>
  <c r="F71" i="7"/>
  <c r="D71" i="7"/>
  <c r="C71" i="7"/>
  <c r="S70" i="7"/>
  <c r="R70" i="7"/>
  <c r="P70" i="7"/>
  <c r="O70" i="7"/>
  <c r="M70" i="7"/>
  <c r="L70" i="7"/>
  <c r="J70" i="7"/>
  <c r="I70" i="7"/>
  <c r="G70" i="7"/>
  <c r="F70" i="7"/>
  <c r="D70" i="7"/>
  <c r="C70" i="7"/>
  <c r="S66" i="7"/>
  <c r="R66" i="7"/>
  <c r="P66" i="7"/>
  <c r="O66" i="7"/>
  <c r="M66" i="7"/>
  <c r="L66" i="7"/>
  <c r="J66" i="7"/>
  <c r="I66" i="7"/>
  <c r="G66" i="7"/>
  <c r="F66" i="7"/>
  <c r="D66" i="7"/>
  <c r="C66" i="7"/>
  <c r="S65" i="7"/>
  <c r="R65" i="7"/>
  <c r="P65" i="7"/>
  <c r="O65" i="7"/>
  <c r="M65" i="7"/>
  <c r="L65" i="7"/>
  <c r="J65" i="7"/>
  <c r="I65" i="7"/>
  <c r="G65" i="7"/>
  <c r="F65" i="7"/>
  <c r="D65" i="7"/>
  <c r="C65" i="7"/>
  <c r="S64" i="7"/>
  <c r="R64" i="7"/>
  <c r="P64" i="7"/>
  <c r="O64" i="7"/>
  <c r="M64" i="7"/>
  <c r="L64" i="7"/>
  <c r="J64" i="7"/>
  <c r="I64" i="7"/>
  <c r="G64" i="7"/>
  <c r="F64" i="7"/>
  <c r="D64" i="7"/>
  <c r="C64" i="7"/>
  <c r="S63" i="7"/>
  <c r="R63" i="7"/>
  <c r="P63" i="7"/>
  <c r="O63" i="7"/>
  <c r="M63" i="7"/>
  <c r="L63" i="7"/>
  <c r="J63" i="7"/>
  <c r="I63" i="7"/>
  <c r="G63" i="7"/>
  <c r="F63" i="7"/>
  <c r="D63" i="7"/>
  <c r="C63" i="7"/>
  <c r="S59" i="7"/>
  <c r="R59" i="7"/>
  <c r="P59" i="7"/>
  <c r="O59" i="7"/>
  <c r="M59" i="7"/>
  <c r="L59" i="7"/>
  <c r="J59" i="7"/>
  <c r="I59" i="7"/>
  <c r="G59" i="7"/>
  <c r="F59" i="7"/>
  <c r="D59" i="7"/>
  <c r="C59" i="7"/>
  <c r="S58" i="7"/>
  <c r="R58" i="7"/>
  <c r="P58" i="7"/>
  <c r="O58" i="7"/>
  <c r="M58" i="7"/>
  <c r="L58" i="7"/>
  <c r="J58" i="7"/>
  <c r="I58" i="7"/>
  <c r="G58" i="7"/>
  <c r="F58" i="7"/>
  <c r="D58" i="7"/>
  <c r="C58" i="7"/>
  <c r="S57" i="7"/>
  <c r="R57" i="7"/>
  <c r="P57" i="7"/>
  <c r="O57" i="7"/>
  <c r="M57" i="7"/>
  <c r="L57" i="7"/>
  <c r="I57" i="7"/>
  <c r="G57" i="7"/>
  <c r="F57" i="7"/>
  <c r="D57" i="7"/>
  <c r="C57" i="7"/>
  <c r="S56" i="7"/>
  <c r="R56" i="7"/>
  <c r="P56" i="7"/>
  <c r="O56" i="7"/>
  <c r="M56" i="7"/>
  <c r="L56" i="7"/>
  <c r="J56" i="7"/>
  <c r="I56" i="7"/>
  <c r="G56" i="7"/>
  <c r="F56" i="7"/>
  <c r="D56" i="7"/>
  <c r="C56" i="7"/>
  <c r="G109" i="6" a="1"/>
  <c r="G109" i="6" s="1"/>
  <c r="F109" i="6" a="1"/>
  <c r="F109" i="6" s="1"/>
  <c r="D109" i="6" a="1"/>
  <c r="D109" i="6" s="1"/>
  <c r="C109" i="6" a="1"/>
  <c r="C109" i="6" s="1"/>
  <c r="G108" i="6" a="1"/>
  <c r="G108" i="6" s="1"/>
  <c r="F108" i="6" a="1"/>
  <c r="F108" i="6" s="1"/>
  <c r="D108" i="6" a="1"/>
  <c r="D108" i="6" s="1"/>
  <c r="C108" i="6" a="1"/>
  <c r="C108" i="6" s="1"/>
  <c r="G107" i="6" a="1"/>
  <c r="G107" i="6" s="1"/>
  <c r="F107" i="6" a="1"/>
  <c r="F107" i="6" s="1"/>
  <c r="D107" i="6" a="1"/>
  <c r="D107" i="6" s="1"/>
  <c r="C107" i="6" a="1"/>
  <c r="C107" i="6" s="1"/>
  <c r="G104" i="6"/>
  <c r="F104" i="6"/>
  <c r="D104" i="6"/>
  <c r="C104" i="6"/>
  <c r="G103" i="6"/>
  <c r="F103" i="6"/>
  <c r="D103" i="6"/>
  <c r="C103" i="6"/>
  <c r="G102" i="6"/>
  <c r="F102" i="6"/>
  <c r="D102" i="6"/>
  <c r="C102" i="6"/>
  <c r="G101" i="6"/>
  <c r="F101" i="6"/>
  <c r="D101" i="6"/>
  <c r="C101" i="6"/>
  <c r="G97" i="6" a="1"/>
  <c r="G97" i="6" s="1"/>
  <c r="F97" i="6" a="1"/>
  <c r="F97" i="6" s="1"/>
  <c r="D97" i="6" a="1"/>
  <c r="D97" i="6" s="1"/>
  <c r="C97" i="6" a="1"/>
  <c r="C97" i="6" s="1"/>
  <c r="G96" i="6" a="1"/>
  <c r="G96" i="6" s="1"/>
  <c r="F96" i="6" a="1"/>
  <c r="F96" i="6" s="1"/>
  <c r="D96" i="6" a="1"/>
  <c r="D96" i="6" s="1"/>
  <c r="C96" i="6" a="1"/>
  <c r="C96" i="6" s="1"/>
  <c r="G95" i="6" a="1"/>
  <c r="G95" i="6" s="1"/>
  <c r="F95" i="6" a="1"/>
  <c r="F95" i="6" s="1"/>
  <c r="D95" i="6" a="1"/>
  <c r="D95" i="6" s="1"/>
  <c r="C95" i="6" a="1"/>
  <c r="C95" i="6" s="1"/>
  <c r="G92" i="6"/>
  <c r="F92" i="6"/>
  <c r="D92" i="6"/>
  <c r="C92" i="6"/>
  <c r="G91" i="6"/>
  <c r="F91" i="6"/>
  <c r="D91" i="6"/>
  <c r="C91" i="6"/>
  <c r="G90" i="6"/>
  <c r="F90" i="6"/>
  <c r="D90" i="6"/>
  <c r="C90" i="6"/>
  <c r="G89" i="6"/>
  <c r="F89" i="6"/>
  <c r="D89" i="6"/>
  <c r="C89" i="6"/>
  <c r="G85" i="6" a="1"/>
  <c r="G85" i="6" s="1"/>
  <c r="F85" i="6" a="1"/>
  <c r="F85" i="6" s="1"/>
  <c r="D85" i="6" a="1"/>
  <c r="D85" i="6" s="1"/>
  <c r="C85" i="6" a="1"/>
  <c r="C85" i="6" s="1"/>
  <c r="G84" i="6" a="1"/>
  <c r="G84" i="6" s="1"/>
  <c r="F84" i="6" a="1"/>
  <c r="F84" i="6" s="1"/>
  <c r="D84" i="6" a="1"/>
  <c r="D84" i="6" s="1"/>
  <c r="C84" i="6" a="1"/>
  <c r="C84" i="6" s="1"/>
  <c r="G83" i="6" a="1"/>
  <c r="G83" i="6" s="1"/>
  <c r="F83" i="6" a="1"/>
  <c r="F83" i="6" s="1"/>
  <c r="D83" i="6" a="1"/>
  <c r="D83" i="6" s="1"/>
  <c r="C83" i="6" a="1"/>
  <c r="C83" i="6" s="1"/>
  <c r="G80" i="6"/>
  <c r="F80" i="6"/>
  <c r="D80" i="6"/>
  <c r="C80" i="6"/>
  <c r="G79" i="6"/>
  <c r="F79" i="6"/>
  <c r="D79" i="6"/>
  <c r="C79" i="6"/>
  <c r="G78" i="6"/>
  <c r="F78" i="6"/>
  <c r="D78" i="6"/>
  <c r="C78" i="6"/>
  <c r="G77" i="6"/>
  <c r="F77" i="6"/>
  <c r="D77" i="6"/>
  <c r="C77" i="6"/>
  <c r="S73" i="6"/>
  <c r="R73" i="6"/>
  <c r="P73" i="6"/>
  <c r="O73" i="6"/>
  <c r="M73" i="6"/>
  <c r="L73" i="6"/>
  <c r="J73" i="6"/>
  <c r="I73" i="6"/>
  <c r="G73" i="6"/>
  <c r="F73" i="6"/>
  <c r="D73" i="6"/>
  <c r="C73" i="6"/>
  <c r="S72" i="6"/>
  <c r="R72" i="6"/>
  <c r="P72" i="6"/>
  <c r="O72" i="6"/>
  <c r="M72" i="6"/>
  <c r="L72" i="6"/>
  <c r="J72" i="6"/>
  <c r="I72" i="6"/>
  <c r="G72" i="6"/>
  <c r="F72" i="6"/>
  <c r="D72" i="6"/>
  <c r="C72" i="6"/>
  <c r="S71" i="6"/>
  <c r="R71" i="6"/>
  <c r="P71" i="6"/>
  <c r="O71" i="6"/>
  <c r="M71" i="6"/>
  <c r="L71" i="6"/>
  <c r="J71" i="6"/>
  <c r="I71" i="6"/>
  <c r="G71" i="6"/>
  <c r="F71" i="6"/>
  <c r="D71" i="6"/>
  <c r="C71" i="6"/>
  <c r="S70" i="6"/>
  <c r="R70" i="6"/>
  <c r="P70" i="6"/>
  <c r="O70" i="6"/>
  <c r="M70" i="6"/>
  <c r="L70" i="6"/>
  <c r="J70" i="6"/>
  <c r="I70" i="6"/>
  <c r="G70" i="6"/>
  <c r="F70" i="6"/>
  <c r="D70" i="6"/>
  <c r="C70" i="6"/>
  <c r="S66" i="6"/>
  <c r="R66" i="6"/>
  <c r="P66" i="6"/>
  <c r="O66" i="6"/>
  <c r="M66" i="6"/>
  <c r="L66" i="6"/>
  <c r="J66" i="6"/>
  <c r="I66" i="6"/>
  <c r="G66" i="6"/>
  <c r="F66" i="6"/>
  <c r="D66" i="6"/>
  <c r="C66" i="6"/>
  <c r="S65" i="6"/>
  <c r="R65" i="6"/>
  <c r="P65" i="6"/>
  <c r="O65" i="6"/>
  <c r="M65" i="6"/>
  <c r="L65" i="6"/>
  <c r="J65" i="6"/>
  <c r="I65" i="6"/>
  <c r="G65" i="6"/>
  <c r="F65" i="6"/>
  <c r="D65" i="6"/>
  <c r="C65" i="6"/>
  <c r="S64" i="6"/>
  <c r="R64" i="6"/>
  <c r="P64" i="6"/>
  <c r="O64" i="6"/>
  <c r="M64" i="6"/>
  <c r="L64" i="6"/>
  <c r="J64" i="6"/>
  <c r="I64" i="6"/>
  <c r="G64" i="6"/>
  <c r="F64" i="6"/>
  <c r="D64" i="6"/>
  <c r="C64" i="6"/>
  <c r="S63" i="6"/>
  <c r="R63" i="6"/>
  <c r="P63" i="6"/>
  <c r="O63" i="6"/>
  <c r="M63" i="6"/>
  <c r="L63" i="6"/>
  <c r="J63" i="6"/>
  <c r="I63" i="6"/>
  <c r="G63" i="6"/>
  <c r="F63" i="6"/>
  <c r="D63" i="6"/>
  <c r="C63" i="6"/>
  <c r="S59" i="6"/>
  <c r="R59" i="6"/>
  <c r="P59" i="6"/>
  <c r="O59" i="6"/>
  <c r="M59" i="6"/>
  <c r="L59" i="6"/>
  <c r="J59" i="6"/>
  <c r="I59" i="6"/>
  <c r="G59" i="6"/>
  <c r="F59" i="6"/>
  <c r="D59" i="6"/>
  <c r="C59" i="6"/>
  <c r="S58" i="6"/>
  <c r="R58" i="6"/>
  <c r="P58" i="6"/>
  <c r="O58" i="6"/>
  <c r="M58" i="6"/>
  <c r="L58" i="6"/>
  <c r="J58" i="6"/>
  <c r="I58" i="6"/>
  <c r="G58" i="6"/>
  <c r="F58" i="6"/>
  <c r="D58" i="6"/>
  <c r="C58" i="6"/>
  <c r="S57" i="6"/>
  <c r="R57" i="6"/>
  <c r="P57" i="6"/>
  <c r="O57" i="6"/>
  <c r="M57" i="6"/>
  <c r="L57" i="6"/>
  <c r="J57" i="6"/>
  <c r="I57" i="6"/>
  <c r="G57" i="6"/>
  <c r="F57" i="6"/>
  <c r="D57" i="6"/>
  <c r="C57" i="6"/>
  <c r="S56" i="6"/>
  <c r="R56" i="6"/>
  <c r="P56" i="6"/>
  <c r="O56" i="6"/>
  <c r="M56" i="6"/>
  <c r="L56" i="6"/>
  <c r="J56" i="6"/>
  <c r="I56" i="6"/>
  <c r="G56" i="6"/>
  <c r="F56" i="6"/>
  <c r="D56" i="6"/>
  <c r="C56" i="6"/>
  <c r="G109" i="5" a="1"/>
  <c r="G109" i="5" s="1"/>
  <c r="F109" i="5" a="1"/>
  <c r="F109" i="5" s="1"/>
  <c r="D109" i="5" a="1"/>
  <c r="D109" i="5" s="1"/>
  <c r="C109" i="5" a="1"/>
  <c r="C109" i="5" s="1"/>
  <c r="G108" i="5" a="1"/>
  <c r="G108" i="5" s="1"/>
  <c r="F108" i="5" a="1"/>
  <c r="F108" i="5" s="1"/>
  <c r="D108" i="5" a="1"/>
  <c r="D108" i="5" s="1"/>
  <c r="C108" i="5" a="1"/>
  <c r="C108" i="5" s="1"/>
  <c r="G107" i="5" a="1"/>
  <c r="G107" i="5" s="1"/>
  <c r="F107" i="5" a="1"/>
  <c r="F107" i="5" s="1"/>
  <c r="D107" i="5" a="1"/>
  <c r="D107" i="5" s="1"/>
  <c r="C107" i="5" a="1"/>
  <c r="C107" i="5" s="1"/>
  <c r="G104" i="5"/>
  <c r="F104" i="5"/>
  <c r="D104" i="5"/>
  <c r="C104" i="5"/>
  <c r="G103" i="5"/>
  <c r="F103" i="5"/>
  <c r="D103" i="5"/>
  <c r="C103" i="5"/>
  <c r="G102" i="5"/>
  <c r="F102" i="5"/>
  <c r="D102" i="5"/>
  <c r="C102" i="5"/>
  <c r="G101" i="5"/>
  <c r="F101" i="5"/>
  <c r="D101" i="5"/>
  <c r="C101" i="5"/>
  <c r="G97" i="5" a="1"/>
  <c r="G97" i="5" s="1"/>
  <c r="F97" i="5" a="1"/>
  <c r="F97" i="5" s="1"/>
  <c r="D97" i="5" a="1"/>
  <c r="D97" i="5" s="1"/>
  <c r="C97" i="5" a="1"/>
  <c r="C97" i="5" s="1"/>
  <c r="G96" i="5" a="1"/>
  <c r="G96" i="5" s="1"/>
  <c r="F96" i="5" a="1"/>
  <c r="F96" i="5" s="1"/>
  <c r="D96" i="5" a="1"/>
  <c r="D96" i="5" s="1"/>
  <c r="C96" i="5" a="1"/>
  <c r="C96" i="5" s="1"/>
  <c r="G95" i="5" a="1"/>
  <c r="G95" i="5" s="1"/>
  <c r="F95" i="5" a="1"/>
  <c r="F95" i="5" s="1"/>
  <c r="D95" i="5" a="1"/>
  <c r="D95" i="5" s="1"/>
  <c r="C95" i="5" a="1"/>
  <c r="C95" i="5" s="1"/>
  <c r="G92" i="5"/>
  <c r="F92" i="5"/>
  <c r="D92" i="5"/>
  <c r="C92" i="5"/>
  <c r="G91" i="5"/>
  <c r="F91" i="5"/>
  <c r="D91" i="5"/>
  <c r="C91" i="5"/>
  <c r="G90" i="5"/>
  <c r="F90" i="5"/>
  <c r="D90" i="5"/>
  <c r="C90" i="5"/>
  <c r="G89" i="5"/>
  <c r="F89" i="5"/>
  <c r="D89" i="5"/>
  <c r="C89" i="5"/>
  <c r="G85" i="5" a="1"/>
  <c r="G85" i="5" s="1"/>
  <c r="F85" i="5" a="1"/>
  <c r="F85" i="5" s="1"/>
  <c r="D85" i="5" a="1"/>
  <c r="D85" i="5" s="1"/>
  <c r="C85" i="5" a="1"/>
  <c r="C85" i="5" s="1"/>
  <c r="G84" i="5" a="1"/>
  <c r="G84" i="5" s="1"/>
  <c r="F84" i="5" a="1"/>
  <c r="F84" i="5" s="1"/>
  <c r="D84" i="5" a="1"/>
  <c r="D84" i="5" s="1"/>
  <c r="C84" i="5" a="1"/>
  <c r="C84" i="5" s="1"/>
  <c r="G83" i="5" a="1"/>
  <c r="G83" i="5" s="1"/>
  <c r="F83" i="5" a="1"/>
  <c r="F83" i="5" s="1"/>
  <c r="D83" i="5" a="1"/>
  <c r="D83" i="5" s="1"/>
  <c r="C83" i="5" a="1"/>
  <c r="C83" i="5" s="1"/>
  <c r="G80" i="5"/>
  <c r="F80" i="5"/>
  <c r="D80" i="5"/>
  <c r="C80" i="5"/>
  <c r="G79" i="5"/>
  <c r="F79" i="5"/>
  <c r="D79" i="5"/>
  <c r="C79" i="5"/>
  <c r="G78" i="5"/>
  <c r="F78" i="5"/>
  <c r="D78" i="5"/>
  <c r="C78" i="5"/>
  <c r="G77" i="5"/>
  <c r="F77" i="5"/>
  <c r="D77" i="5"/>
  <c r="C77" i="5"/>
  <c r="S73" i="5"/>
  <c r="R73" i="5"/>
  <c r="P73" i="5"/>
  <c r="O73" i="5"/>
  <c r="M73" i="5"/>
  <c r="L73" i="5"/>
  <c r="J73" i="5"/>
  <c r="I73" i="5"/>
  <c r="G73" i="5"/>
  <c r="F73" i="5"/>
  <c r="D73" i="5"/>
  <c r="C73" i="5"/>
  <c r="S72" i="5"/>
  <c r="R72" i="5"/>
  <c r="P72" i="5"/>
  <c r="O72" i="5"/>
  <c r="M72" i="5"/>
  <c r="L72" i="5"/>
  <c r="J72" i="5"/>
  <c r="I72" i="5"/>
  <c r="G72" i="5"/>
  <c r="F72" i="5"/>
  <c r="D72" i="5"/>
  <c r="C72" i="5"/>
  <c r="S71" i="5"/>
  <c r="R71" i="5"/>
  <c r="P71" i="5"/>
  <c r="O71" i="5"/>
  <c r="M71" i="5"/>
  <c r="L71" i="5"/>
  <c r="J71" i="5"/>
  <c r="I71" i="5"/>
  <c r="G71" i="5"/>
  <c r="F71" i="5"/>
  <c r="D71" i="5"/>
  <c r="C71" i="5"/>
  <c r="S70" i="5"/>
  <c r="R70" i="5"/>
  <c r="P70" i="5"/>
  <c r="O70" i="5"/>
  <c r="M70" i="5"/>
  <c r="L70" i="5"/>
  <c r="J70" i="5"/>
  <c r="I70" i="5"/>
  <c r="G70" i="5"/>
  <c r="F70" i="5"/>
  <c r="D70" i="5"/>
  <c r="C70" i="5"/>
  <c r="S66" i="5"/>
  <c r="R66" i="5"/>
  <c r="P66" i="5"/>
  <c r="O66" i="5"/>
  <c r="M66" i="5"/>
  <c r="L66" i="5"/>
  <c r="J66" i="5"/>
  <c r="I66" i="5"/>
  <c r="G66" i="5"/>
  <c r="F66" i="5"/>
  <c r="D66" i="5"/>
  <c r="C66" i="5"/>
  <c r="S65" i="5"/>
  <c r="R65" i="5"/>
  <c r="P65" i="5"/>
  <c r="O65" i="5"/>
  <c r="M65" i="5"/>
  <c r="L65" i="5"/>
  <c r="J65" i="5"/>
  <c r="I65" i="5"/>
  <c r="G65" i="5"/>
  <c r="F65" i="5"/>
  <c r="D65" i="5"/>
  <c r="C65" i="5"/>
  <c r="S64" i="5"/>
  <c r="R64" i="5"/>
  <c r="P64" i="5"/>
  <c r="O64" i="5"/>
  <c r="M64" i="5"/>
  <c r="L64" i="5"/>
  <c r="J64" i="5"/>
  <c r="I64" i="5"/>
  <c r="G64" i="5"/>
  <c r="F64" i="5"/>
  <c r="D64" i="5"/>
  <c r="C64" i="5"/>
  <c r="S63" i="5"/>
  <c r="R63" i="5"/>
  <c r="P63" i="5"/>
  <c r="O63" i="5"/>
  <c r="M63" i="5"/>
  <c r="L63" i="5"/>
  <c r="J63" i="5"/>
  <c r="I63" i="5"/>
  <c r="G63" i="5"/>
  <c r="F63" i="5"/>
  <c r="D63" i="5"/>
  <c r="C63" i="5"/>
  <c r="S59" i="5"/>
  <c r="R59" i="5"/>
  <c r="P59" i="5"/>
  <c r="O59" i="5"/>
  <c r="M59" i="5"/>
  <c r="L59" i="5"/>
  <c r="J59" i="5"/>
  <c r="I59" i="5"/>
  <c r="G59" i="5"/>
  <c r="F59" i="5"/>
  <c r="D59" i="5"/>
  <c r="C59" i="5"/>
  <c r="S58" i="5"/>
  <c r="R58" i="5"/>
  <c r="P58" i="5"/>
  <c r="O58" i="5"/>
  <c r="M58" i="5"/>
  <c r="L58" i="5"/>
  <c r="J58" i="5"/>
  <c r="I58" i="5"/>
  <c r="G58" i="5"/>
  <c r="F58" i="5"/>
  <c r="D58" i="5"/>
  <c r="C58" i="5"/>
  <c r="S57" i="5"/>
  <c r="R57" i="5"/>
  <c r="P57" i="5"/>
  <c r="O57" i="5"/>
  <c r="M57" i="5"/>
  <c r="L57" i="5"/>
  <c r="J57" i="5"/>
  <c r="I57" i="5"/>
  <c r="G57" i="5"/>
  <c r="F57" i="5"/>
  <c r="D57" i="5"/>
  <c r="C57" i="5"/>
  <c r="S56" i="5"/>
  <c r="R56" i="5"/>
  <c r="P56" i="5"/>
  <c r="O56" i="5"/>
  <c r="M56" i="5"/>
  <c r="L56" i="5"/>
  <c r="J56" i="5"/>
  <c r="I56" i="5"/>
  <c r="G56" i="5"/>
  <c r="F56" i="5"/>
  <c r="D56" i="5"/>
  <c r="C56" i="5"/>
  <c r="G109" i="10" a="1"/>
  <c r="G109" i="10" s="1"/>
  <c r="F109" i="10" a="1"/>
  <c r="F109" i="10" s="1"/>
  <c r="D109" i="10" a="1"/>
  <c r="D109" i="10" s="1"/>
  <c r="C109" i="10" a="1"/>
  <c r="C109" i="10" s="1"/>
  <c r="G108" i="10" a="1"/>
  <c r="G108" i="10" s="1"/>
  <c r="F108" i="10" a="1"/>
  <c r="F108" i="10" s="1"/>
  <c r="D108" i="10" a="1"/>
  <c r="D108" i="10" s="1"/>
  <c r="C108" i="10" a="1"/>
  <c r="C108" i="10" s="1"/>
  <c r="G107" i="10" a="1"/>
  <c r="G107" i="10" s="1"/>
  <c r="F107" i="10" a="1"/>
  <c r="F107" i="10" s="1"/>
  <c r="D107" i="10" a="1"/>
  <c r="D107" i="10" s="1"/>
  <c r="C107" i="10" a="1"/>
  <c r="C107" i="10" s="1"/>
  <c r="G104" i="10"/>
  <c r="F104" i="10"/>
  <c r="D104" i="10"/>
  <c r="C104" i="10"/>
  <c r="G103" i="10"/>
  <c r="F103" i="10"/>
  <c r="D103" i="10"/>
  <c r="C103" i="10"/>
  <c r="G102" i="10"/>
  <c r="F102" i="10"/>
  <c r="D102" i="10"/>
  <c r="C102" i="10"/>
  <c r="G101" i="10"/>
  <c r="F101" i="10"/>
  <c r="D101" i="10"/>
  <c r="C101" i="10"/>
  <c r="G97" i="10" a="1"/>
  <c r="G97" i="10" s="1"/>
  <c r="F97" i="10" a="1"/>
  <c r="F97" i="10" s="1"/>
  <c r="D97" i="10" a="1"/>
  <c r="D97" i="10" s="1"/>
  <c r="C97" i="10" a="1"/>
  <c r="C97" i="10" s="1"/>
  <c r="G96" i="10" a="1"/>
  <c r="G96" i="10" s="1"/>
  <c r="F96" i="10" a="1"/>
  <c r="F96" i="10" s="1"/>
  <c r="D96" i="10" a="1"/>
  <c r="D96" i="10" s="1"/>
  <c r="C96" i="10" a="1"/>
  <c r="C96" i="10" s="1"/>
  <c r="G95" i="10" a="1"/>
  <c r="G95" i="10" s="1"/>
  <c r="F95" i="10" a="1"/>
  <c r="F95" i="10" s="1"/>
  <c r="D95" i="10" a="1"/>
  <c r="D95" i="10" s="1"/>
  <c r="C95" i="10" a="1"/>
  <c r="C95" i="10" s="1"/>
  <c r="G92" i="10"/>
  <c r="F92" i="10"/>
  <c r="D92" i="10"/>
  <c r="C92" i="10"/>
  <c r="G91" i="10"/>
  <c r="F91" i="10"/>
  <c r="D91" i="10"/>
  <c r="C91" i="10"/>
  <c r="G90" i="10"/>
  <c r="F90" i="10"/>
  <c r="D90" i="10"/>
  <c r="C90" i="10"/>
  <c r="G89" i="10"/>
  <c r="F89" i="10"/>
  <c r="D89" i="10"/>
  <c r="C89" i="10"/>
  <c r="G85" i="10" a="1"/>
  <c r="G85" i="10" s="1"/>
  <c r="F85" i="10" a="1"/>
  <c r="F85" i="10" s="1"/>
  <c r="D85" i="10" a="1"/>
  <c r="D85" i="10" s="1"/>
  <c r="C85" i="10" a="1"/>
  <c r="C85" i="10" s="1"/>
  <c r="G84" i="10" a="1"/>
  <c r="G84" i="10" s="1"/>
  <c r="F84" i="10" a="1"/>
  <c r="F84" i="10" s="1"/>
  <c r="D84" i="10" a="1"/>
  <c r="D84" i="10" s="1"/>
  <c r="C84" i="10" a="1"/>
  <c r="C84" i="10" s="1"/>
  <c r="G83" i="10" a="1"/>
  <c r="G83" i="10" s="1"/>
  <c r="F83" i="10" a="1"/>
  <c r="F83" i="10" s="1"/>
  <c r="D83" i="10" a="1"/>
  <c r="D83" i="10" s="1"/>
  <c r="C83" i="10" a="1"/>
  <c r="C83" i="10" s="1"/>
  <c r="G80" i="10"/>
  <c r="F80" i="10"/>
  <c r="D80" i="10"/>
  <c r="C80" i="10"/>
  <c r="G79" i="10"/>
  <c r="F79" i="10"/>
  <c r="D79" i="10"/>
  <c r="C79" i="10"/>
  <c r="G78" i="10"/>
  <c r="F78" i="10"/>
  <c r="D78" i="10"/>
  <c r="C78" i="10"/>
  <c r="G77" i="10"/>
  <c r="F77" i="10"/>
  <c r="D77" i="10"/>
  <c r="C77" i="10"/>
  <c r="S73" i="10"/>
  <c r="R73" i="10"/>
  <c r="P73" i="10"/>
  <c r="O73" i="10"/>
  <c r="M73" i="10"/>
  <c r="L73" i="10"/>
  <c r="J73" i="10"/>
  <c r="I73" i="10"/>
  <c r="G73" i="10"/>
  <c r="F73" i="10"/>
  <c r="D73" i="10"/>
  <c r="C73" i="10"/>
  <c r="S72" i="10"/>
  <c r="R72" i="10"/>
  <c r="P72" i="10"/>
  <c r="O72" i="10"/>
  <c r="M72" i="10"/>
  <c r="L72" i="10"/>
  <c r="J72" i="10"/>
  <c r="I72" i="10"/>
  <c r="G72" i="10"/>
  <c r="F72" i="10"/>
  <c r="D72" i="10"/>
  <c r="C72" i="10"/>
  <c r="S71" i="10"/>
  <c r="R71" i="10"/>
  <c r="P71" i="10"/>
  <c r="O71" i="10"/>
  <c r="M71" i="10"/>
  <c r="L71" i="10"/>
  <c r="J71" i="10"/>
  <c r="I71" i="10"/>
  <c r="G71" i="10"/>
  <c r="F71" i="10"/>
  <c r="D71" i="10"/>
  <c r="C71" i="10"/>
  <c r="S70" i="10"/>
  <c r="R70" i="10"/>
  <c r="P70" i="10"/>
  <c r="O70" i="10"/>
  <c r="M70" i="10"/>
  <c r="L70" i="10"/>
  <c r="J70" i="10"/>
  <c r="I70" i="10"/>
  <c r="G70" i="10"/>
  <c r="F70" i="10"/>
  <c r="D70" i="10"/>
  <c r="C70" i="10"/>
  <c r="S66" i="10"/>
  <c r="R66" i="10"/>
  <c r="P66" i="10"/>
  <c r="O66" i="10"/>
  <c r="M66" i="10"/>
  <c r="L66" i="10"/>
  <c r="J66" i="10"/>
  <c r="I66" i="10"/>
  <c r="G66" i="10"/>
  <c r="F66" i="10"/>
  <c r="D66" i="10"/>
  <c r="C66" i="10"/>
  <c r="S65" i="10"/>
  <c r="R65" i="10"/>
  <c r="P65" i="10"/>
  <c r="O65" i="10"/>
  <c r="M65" i="10"/>
  <c r="L65" i="10"/>
  <c r="J65" i="10"/>
  <c r="I65" i="10"/>
  <c r="G65" i="10"/>
  <c r="F65" i="10"/>
  <c r="D65" i="10"/>
  <c r="C65" i="10"/>
  <c r="S64" i="10"/>
  <c r="R64" i="10"/>
  <c r="P64" i="10"/>
  <c r="O64" i="10"/>
  <c r="M64" i="10"/>
  <c r="L64" i="10"/>
  <c r="J64" i="10"/>
  <c r="I64" i="10"/>
  <c r="G64" i="10"/>
  <c r="F64" i="10"/>
  <c r="D64" i="10"/>
  <c r="C64" i="10"/>
  <c r="S63" i="10"/>
  <c r="R63" i="10"/>
  <c r="P63" i="10"/>
  <c r="O63" i="10"/>
  <c r="M63" i="10"/>
  <c r="L63" i="10"/>
  <c r="J63" i="10"/>
  <c r="I63" i="10"/>
  <c r="G63" i="10"/>
  <c r="F63" i="10"/>
  <c r="D63" i="10"/>
  <c r="C63" i="10"/>
  <c r="S59" i="10"/>
  <c r="R59" i="10"/>
  <c r="P59" i="10"/>
  <c r="O59" i="10"/>
  <c r="M59" i="10"/>
  <c r="L59" i="10"/>
  <c r="J59" i="10"/>
  <c r="I59" i="10"/>
  <c r="G59" i="10"/>
  <c r="F59" i="10"/>
  <c r="D59" i="10"/>
  <c r="C59" i="10"/>
  <c r="S58" i="10"/>
  <c r="R58" i="10"/>
  <c r="P58" i="10"/>
  <c r="O58" i="10"/>
  <c r="M58" i="10"/>
  <c r="L58" i="10"/>
  <c r="J58" i="10"/>
  <c r="I58" i="10"/>
  <c r="G58" i="10"/>
  <c r="F58" i="10"/>
  <c r="D58" i="10"/>
  <c r="C58" i="10"/>
  <c r="S57" i="10"/>
  <c r="R57" i="10"/>
  <c r="P57" i="10"/>
  <c r="O57" i="10"/>
  <c r="M57" i="10"/>
  <c r="L57" i="10"/>
  <c r="J57" i="10"/>
  <c r="I57" i="10"/>
  <c r="G57" i="10"/>
  <c r="F57" i="10"/>
  <c r="D57" i="10"/>
  <c r="C57" i="10"/>
  <c r="S56" i="10"/>
  <c r="R56" i="10"/>
  <c r="P56" i="10"/>
  <c r="O56" i="10"/>
  <c r="M56" i="10"/>
  <c r="L56" i="10"/>
  <c r="J56" i="10"/>
  <c r="I56" i="10"/>
  <c r="G56" i="10"/>
  <c r="F56" i="10"/>
  <c r="D56" i="10"/>
  <c r="C56" i="10"/>
  <c r="G109" i="4" a="1"/>
  <c r="G109" i="4" s="1"/>
  <c r="F109" i="4" a="1"/>
  <c r="F109" i="4" s="1"/>
  <c r="D109" i="4" a="1"/>
  <c r="D109" i="4" s="1"/>
  <c r="C109" i="4" a="1"/>
  <c r="C109" i="4" s="1"/>
  <c r="G108" i="4" a="1"/>
  <c r="G108" i="4" s="1"/>
  <c r="F108" i="4" a="1"/>
  <c r="F108" i="4" s="1"/>
  <c r="D108" i="4" a="1"/>
  <c r="D108" i="4" s="1"/>
  <c r="C108" i="4" a="1"/>
  <c r="C108" i="4" s="1"/>
  <c r="G107" i="4" a="1"/>
  <c r="G107" i="4" s="1"/>
  <c r="F107" i="4" a="1"/>
  <c r="F107" i="4" s="1"/>
  <c r="D107" i="4" a="1"/>
  <c r="D107" i="4" s="1"/>
  <c r="C107" i="4" a="1"/>
  <c r="C107" i="4" s="1"/>
  <c r="G104" i="4"/>
  <c r="F104" i="4"/>
  <c r="D104" i="4"/>
  <c r="C104" i="4"/>
  <c r="G103" i="4"/>
  <c r="F103" i="4"/>
  <c r="D103" i="4"/>
  <c r="C103" i="4"/>
  <c r="G102" i="4"/>
  <c r="F102" i="4"/>
  <c r="D102" i="4"/>
  <c r="C102" i="4"/>
  <c r="G101" i="4"/>
  <c r="F101" i="4"/>
  <c r="D101" i="4"/>
  <c r="C101" i="4"/>
  <c r="G97" i="4" a="1"/>
  <c r="G97" i="4" s="1"/>
  <c r="F97" i="4" a="1"/>
  <c r="F97" i="4" s="1"/>
  <c r="D97" i="4" a="1"/>
  <c r="D97" i="4" s="1"/>
  <c r="C97" i="4" a="1"/>
  <c r="C97" i="4" s="1"/>
  <c r="G96" i="4" a="1"/>
  <c r="G96" i="4" s="1"/>
  <c r="F96" i="4" a="1"/>
  <c r="F96" i="4" s="1"/>
  <c r="D96" i="4" a="1"/>
  <c r="D96" i="4" s="1"/>
  <c r="C96" i="4" a="1"/>
  <c r="C96" i="4" s="1"/>
  <c r="G95" i="4" a="1"/>
  <c r="G95" i="4" s="1"/>
  <c r="F95" i="4" a="1"/>
  <c r="F95" i="4" s="1"/>
  <c r="D95" i="4" a="1"/>
  <c r="D95" i="4" s="1"/>
  <c r="C95" i="4" a="1"/>
  <c r="C95" i="4" s="1"/>
  <c r="G92" i="4"/>
  <c r="F92" i="4"/>
  <c r="D92" i="4"/>
  <c r="C92" i="4"/>
  <c r="G91" i="4"/>
  <c r="F91" i="4"/>
  <c r="D91" i="4"/>
  <c r="C91" i="4"/>
  <c r="G90" i="4"/>
  <c r="F90" i="4"/>
  <c r="D90" i="4"/>
  <c r="C90" i="4"/>
  <c r="G89" i="4"/>
  <c r="F89" i="4"/>
  <c r="D89" i="4"/>
  <c r="C89" i="4"/>
  <c r="G85" i="4" a="1"/>
  <c r="G85" i="4" s="1"/>
  <c r="F85" i="4" a="1"/>
  <c r="F85" i="4" s="1"/>
  <c r="D85" i="4" a="1"/>
  <c r="D85" i="4" s="1"/>
  <c r="C85" i="4" a="1"/>
  <c r="C85" i="4" s="1"/>
  <c r="G84" i="4" a="1"/>
  <c r="G84" i="4" s="1"/>
  <c r="F84" i="4" a="1"/>
  <c r="F84" i="4" s="1"/>
  <c r="D84" i="4" a="1"/>
  <c r="D84" i="4" s="1"/>
  <c r="C84" i="4" a="1"/>
  <c r="C84" i="4" s="1"/>
  <c r="G83" i="4" a="1"/>
  <c r="G83" i="4" s="1"/>
  <c r="F83" i="4" a="1"/>
  <c r="F83" i="4" s="1"/>
  <c r="D83" i="4" a="1"/>
  <c r="D83" i="4" s="1"/>
  <c r="C83" i="4" a="1"/>
  <c r="C83" i="4" s="1"/>
  <c r="G80" i="4"/>
  <c r="F80" i="4"/>
  <c r="D80" i="4"/>
  <c r="C80" i="4"/>
  <c r="G79" i="4"/>
  <c r="F79" i="4"/>
  <c r="D79" i="4"/>
  <c r="C79" i="4"/>
  <c r="G78" i="4"/>
  <c r="F78" i="4"/>
  <c r="D78" i="4"/>
  <c r="C78" i="4"/>
  <c r="G77" i="4"/>
  <c r="F77" i="4"/>
  <c r="D77" i="4"/>
  <c r="C77" i="4"/>
  <c r="S73" i="4"/>
  <c r="R73" i="4"/>
  <c r="P73" i="4"/>
  <c r="O73" i="4"/>
  <c r="M73" i="4"/>
  <c r="L73" i="4"/>
  <c r="J73" i="4"/>
  <c r="I73" i="4"/>
  <c r="G73" i="4"/>
  <c r="F73" i="4"/>
  <c r="D73" i="4"/>
  <c r="C73" i="4"/>
  <c r="S72" i="4"/>
  <c r="R72" i="4"/>
  <c r="P72" i="4"/>
  <c r="O72" i="4"/>
  <c r="M72" i="4"/>
  <c r="L72" i="4"/>
  <c r="J72" i="4"/>
  <c r="I72" i="4"/>
  <c r="G72" i="4"/>
  <c r="F72" i="4"/>
  <c r="D72" i="4"/>
  <c r="C72" i="4"/>
  <c r="S71" i="4"/>
  <c r="R71" i="4"/>
  <c r="P71" i="4"/>
  <c r="O71" i="4"/>
  <c r="M71" i="4"/>
  <c r="L71" i="4"/>
  <c r="J71" i="4"/>
  <c r="I71" i="4"/>
  <c r="G71" i="4"/>
  <c r="F71" i="4"/>
  <c r="D71" i="4"/>
  <c r="C71" i="4"/>
  <c r="S70" i="4"/>
  <c r="R70" i="4"/>
  <c r="P70" i="4"/>
  <c r="O70" i="4"/>
  <c r="M70" i="4"/>
  <c r="L70" i="4"/>
  <c r="J70" i="4"/>
  <c r="I70" i="4"/>
  <c r="G70" i="4"/>
  <c r="F70" i="4"/>
  <c r="D70" i="4"/>
  <c r="C70" i="4"/>
  <c r="S66" i="4"/>
  <c r="R66" i="4"/>
  <c r="P66" i="4"/>
  <c r="O66" i="4"/>
  <c r="M66" i="4"/>
  <c r="L66" i="4"/>
  <c r="J66" i="4"/>
  <c r="I66" i="4"/>
  <c r="G66" i="4"/>
  <c r="F66" i="4"/>
  <c r="D66" i="4"/>
  <c r="C66" i="4"/>
  <c r="S65" i="4"/>
  <c r="R65" i="4"/>
  <c r="P65" i="4"/>
  <c r="O65" i="4"/>
  <c r="M65" i="4"/>
  <c r="L65" i="4"/>
  <c r="J65" i="4"/>
  <c r="I65" i="4"/>
  <c r="G65" i="4"/>
  <c r="F65" i="4"/>
  <c r="D65" i="4"/>
  <c r="C65" i="4"/>
  <c r="S64" i="4"/>
  <c r="R64" i="4"/>
  <c r="P64" i="4"/>
  <c r="O64" i="4"/>
  <c r="M64" i="4"/>
  <c r="L64" i="4"/>
  <c r="J64" i="4"/>
  <c r="I64" i="4"/>
  <c r="G64" i="4"/>
  <c r="F64" i="4"/>
  <c r="D64" i="4"/>
  <c r="C64" i="4"/>
  <c r="S63" i="4"/>
  <c r="R63" i="4"/>
  <c r="P63" i="4"/>
  <c r="O63" i="4"/>
  <c r="M63" i="4"/>
  <c r="L63" i="4"/>
  <c r="J63" i="4"/>
  <c r="I63" i="4"/>
  <c r="G63" i="4"/>
  <c r="F63" i="4"/>
  <c r="D63" i="4"/>
  <c r="C63" i="4"/>
  <c r="S59" i="4"/>
  <c r="R59" i="4"/>
  <c r="P59" i="4"/>
  <c r="O59" i="4"/>
  <c r="M59" i="4"/>
  <c r="L59" i="4"/>
  <c r="J59" i="4"/>
  <c r="I59" i="4"/>
  <c r="G59" i="4"/>
  <c r="F59" i="4"/>
  <c r="D59" i="4"/>
  <c r="C59" i="4"/>
  <c r="S58" i="4"/>
  <c r="R58" i="4"/>
  <c r="P58" i="4"/>
  <c r="O58" i="4"/>
  <c r="M58" i="4"/>
  <c r="L58" i="4"/>
  <c r="J58" i="4"/>
  <c r="I58" i="4"/>
  <c r="G58" i="4"/>
  <c r="F58" i="4"/>
  <c r="D58" i="4"/>
  <c r="C58" i="4"/>
  <c r="S57" i="4"/>
  <c r="R57" i="4"/>
  <c r="P57" i="4"/>
  <c r="O57" i="4"/>
  <c r="M57" i="4"/>
  <c r="L57" i="4"/>
  <c r="J57" i="4"/>
  <c r="I57" i="4"/>
  <c r="G57" i="4"/>
  <c r="F57" i="4"/>
  <c r="D57" i="4"/>
  <c r="C57" i="4"/>
  <c r="S56" i="4"/>
  <c r="R56" i="4"/>
  <c r="P56" i="4"/>
  <c r="O56" i="4"/>
  <c r="M56" i="4"/>
  <c r="L56" i="4"/>
  <c r="J56" i="4"/>
  <c r="I56" i="4"/>
  <c r="G56" i="4"/>
  <c r="F56" i="4"/>
  <c r="D56" i="4"/>
  <c r="C56" i="4"/>
  <c r="G109" i="3" a="1"/>
  <c r="G109" i="3" s="1"/>
  <c r="F109" i="3" a="1"/>
  <c r="F109" i="3" s="1"/>
  <c r="D109" i="3" a="1"/>
  <c r="D109" i="3" s="1"/>
  <c r="C109" i="3" a="1"/>
  <c r="C109" i="3" s="1"/>
  <c r="G108" i="3" a="1"/>
  <c r="G108" i="3" s="1"/>
  <c r="F108" i="3" a="1"/>
  <c r="F108" i="3" s="1"/>
  <c r="D108" i="3" a="1"/>
  <c r="D108" i="3" s="1"/>
  <c r="C108" i="3" a="1"/>
  <c r="C108" i="3" s="1"/>
  <c r="G107" i="3" a="1"/>
  <c r="G107" i="3" s="1"/>
  <c r="F107" i="3" a="1"/>
  <c r="F107" i="3" s="1"/>
  <c r="D107" i="3" a="1"/>
  <c r="D107" i="3" s="1"/>
  <c r="C107" i="3" a="1"/>
  <c r="C107" i="3" s="1"/>
  <c r="G104" i="3"/>
  <c r="F104" i="3"/>
  <c r="D104" i="3"/>
  <c r="C104" i="3"/>
  <c r="G103" i="3"/>
  <c r="F103" i="3"/>
  <c r="D103" i="3"/>
  <c r="C103" i="3"/>
  <c r="G102" i="3"/>
  <c r="F102" i="3"/>
  <c r="D102" i="3"/>
  <c r="C102" i="3"/>
  <c r="G101" i="3"/>
  <c r="F101" i="3"/>
  <c r="D101" i="3"/>
  <c r="C101" i="3"/>
  <c r="G97" i="3" a="1"/>
  <c r="G97" i="3" s="1"/>
  <c r="F97" i="3" a="1"/>
  <c r="F97" i="3" s="1"/>
  <c r="D97" i="3" a="1"/>
  <c r="D97" i="3" s="1"/>
  <c r="C97" i="3" a="1"/>
  <c r="C97" i="3" s="1"/>
  <c r="G96" i="3" a="1"/>
  <c r="G96" i="3" s="1"/>
  <c r="F96" i="3" a="1"/>
  <c r="F96" i="3" s="1"/>
  <c r="D96" i="3" a="1"/>
  <c r="D96" i="3" s="1"/>
  <c r="C96" i="3" a="1"/>
  <c r="C96" i="3" s="1"/>
  <c r="G95" i="3" a="1"/>
  <c r="G95" i="3" s="1"/>
  <c r="F95" i="3" a="1"/>
  <c r="F95" i="3" s="1"/>
  <c r="D95" i="3" a="1"/>
  <c r="D95" i="3" s="1"/>
  <c r="C95" i="3" a="1"/>
  <c r="C95" i="3" s="1"/>
  <c r="G92" i="3"/>
  <c r="F92" i="3"/>
  <c r="D92" i="3"/>
  <c r="C92" i="3"/>
  <c r="G91" i="3"/>
  <c r="F91" i="3"/>
  <c r="D91" i="3"/>
  <c r="C91" i="3"/>
  <c r="G90" i="3"/>
  <c r="F90" i="3"/>
  <c r="D90" i="3"/>
  <c r="C90" i="3"/>
  <c r="G89" i="3"/>
  <c r="F89" i="3"/>
  <c r="D89" i="3"/>
  <c r="C89" i="3"/>
  <c r="G85" i="3" a="1"/>
  <c r="G85" i="3" s="1"/>
  <c r="F85" i="3" a="1"/>
  <c r="F85" i="3" s="1"/>
  <c r="D85" i="3" a="1"/>
  <c r="D85" i="3" s="1"/>
  <c r="C85" i="3" a="1"/>
  <c r="C85" i="3" s="1"/>
  <c r="G84" i="3" a="1"/>
  <c r="G84" i="3" s="1"/>
  <c r="F84" i="3" a="1"/>
  <c r="F84" i="3" s="1"/>
  <c r="D84" i="3" a="1"/>
  <c r="D84" i="3" s="1"/>
  <c r="C84" i="3" a="1"/>
  <c r="C84" i="3" s="1"/>
  <c r="G83" i="3" a="1"/>
  <c r="G83" i="3" s="1"/>
  <c r="F83" i="3" a="1"/>
  <c r="F83" i="3" s="1"/>
  <c r="D83" i="3" a="1"/>
  <c r="D83" i="3" s="1"/>
  <c r="C83" i="3" a="1"/>
  <c r="C83" i="3" s="1"/>
  <c r="G80" i="3"/>
  <c r="F80" i="3"/>
  <c r="D80" i="3"/>
  <c r="C80" i="3"/>
  <c r="G79" i="3"/>
  <c r="F79" i="3"/>
  <c r="D79" i="3"/>
  <c r="C79" i="3"/>
  <c r="G78" i="3"/>
  <c r="F78" i="3"/>
  <c r="D78" i="3"/>
  <c r="C78" i="3"/>
  <c r="G77" i="3"/>
  <c r="F77" i="3"/>
  <c r="D77" i="3"/>
  <c r="C77" i="3"/>
  <c r="S73" i="3"/>
  <c r="R73" i="3"/>
  <c r="P73" i="3"/>
  <c r="O73" i="3"/>
  <c r="M73" i="3"/>
  <c r="L73" i="3"/>
  <c r="J73" i="3"/>
  <c r="I73" i="3"/>
  <c r="G73" i="3"/>
  <c r="F73" i="3"/>
  <c r="D73" i="3"/>
  <c r="C73" i="3"/>
  <c r="S72" i="3"/>
  <c r="R72" i="3"/>
  <c r="P72" i="3"/>
  <c r="O72" i="3"/>
  <c r="M72" i="3"/>
  <c r="L72" i="3"/>
  <c r="J72" i="3"/>
  <c r="I72" i="3"/>
  <c r="G72" i="3"/>
  <c r="F72" i="3"/>
  <c r="D72" i="3"/>
  <c r="C72" i="3"/>
  <c r="S71" i="3"/>
  <c r="R71" i="3"/>
  <c r="P71" i="3"/>
  <c r="O71" i="3"/>
  <c r="M71" i="3"/>
  <c r="L71" i="3"/>
  <c r="J71" i="3"/>
  <c r="I71" i="3"/>
  <c r="G71" i="3"/>
  <c r="F71" i="3"/>
  <c r="D71" i="3"/>
  <c r="C71" i="3"/>
  <c r="S70" i="3"/>
  <c r="R70" i="3"/>
  <c r="P70" i="3"/>
  <c r="O70" i="3"/>
  <c r="M70" i="3"/>
  <c r="L70" i="3"/>
  <c r="J70" i="3"/>
  <c r="I70" i="3"/>
  <c r="G70" i="3"/>
  <c r="F70" i="3"/>
  <c r="D70" i="3"/>
  <c r="C70" i="3"/>
  <c r="S66" i="3"/>
  <c r="R66" i="3"/>
  <c r="P66" i="3"/>
  <c r="O66" i="3"/>
  <c r="M66" i="3"/>
  <c r="L66" i="3"/>
  <c r="J66" i="3"/>
  <c r="I66" i="3"/>
  <c r="G66" i="3"/>
  <c r="F66" i="3"/>
  <c r="D66" i="3"/>
  <c r="C66" i="3"/>
  <c r="S65" i="3"/>
  <c r="R65" i="3"/>
  <c r="P65" i="3"/>
  <c r="O65" i="3"/>
  <c r="M65" i="3"/>
  <c r="L65" i="3"/>
  <c r="J65" i="3"/>
  <c r="I65" i="3"/>
  <c r="G65" i="3"/>
  <c r="F65" i="3"/>
  <c r="D65" i="3"/>
  <c r="C65" i="3"/>
  <c r="S64" i="3"/>
  <c r="R64" i="3"/>
  <c r="P64" i="3"/>
  <c r="O64" i="3"/>
  <c r="M64" i="3"/>
  <c r="L64" i="3"/>
  <c r="J64" i="3"/>
  <c r="I64" i="3"/>
  <c r="G64" i="3"/>
  <c r="F64" i="3"/>
  <c r="D64" i="3"/>
  <c r="C64" i="3"/>
  <c r="S63" i="3"/>
  <c r="R63" i="3"/>
  <c r="P63" i="3"/>
  <c r="O63" i="3"/>
  <c r="M63" i="3"/>
  <c r="L63" i="3"/>
  <c r="J63" i="3"/>
  <c r="I63" i="3"/>
  <c r="G63" i="3"/>
  <c r="F63" i="3"/>
  <c r="D63" i="3"/>
  <c r="C63" i="3"/>
  <c r="S59" i="3"/>
  <c r="R59" i="3"/>
  <c r="P59" i="3"/>
  <c r="O59" i="3"/>
  <c r="M59" i="3"/>
  <c r="L59" i="3"/>
  <c r="J59" i="3"/>
  <c r="I59" i="3"/>
  <c r="G59" i="3"/>
  <c r="F59" i="3"/>
  <c r="D59" i="3"/>
  <c r="C59" i="3"/>
  <c r="S58" i="3"/>
  <c r="R58" i="3"/>
  <c r="P58" i="3"/>
  <c r="O58" i="3"/>
  <c r="M58" i="3"/>
  <c r="L58" i="3"/>
  <c r="J58" i="3"/>
  <c r="I58" i="3"/>
  <c r="G58" i="3"/>
  <c r="F58" i="3"/>
  <c r="D58" i="3"/>
  <c r="C58" i="3"/>
  <c r="S57" i="3"/>
  <c r="R57" i="3"/>
  <c r="P57" i="3"/>
  <c r="O57" i="3"/>
  <c r="M57" i="3"/>
  <c r="L57" i="3"/>
  <c r="J57" i="3"/>
  <c r="I57" i="3"/>
  <c r="G57" i="3"/>
  <c r="F57" i="3"/>
  <c r="D57" i="3"/>
  <c r="C57" i="3"/>
  <c r="S56" i="3"/>
  <c r="R56" i="3"/>
  <c r="P56" i="3"/>
  <c r="O56" i="3"/>
  <c r="M56" i="3"/>
  <c r="L56" i="3"/>
  <c r="J56" i="3"/>
  <c r="I56" i="3"/>
  <c r="G56" i="3"/>
  <c r="F56" i="3"/>
  <c r="D56" i="3"/>
  <c r="C56" i="3"/>
  <c r="G109" i="2" a="1"/>
  <c r="G109" i="2" s="1"/>
  <c r="F109" i="2" a="1"/>
  <c r="F109" i="2" s="1"/>
  <c r="D109" i="2" a="1"/>
  <c r="D109" i="2" s="1"/>
  <c r="C109" i="2" a="1"/>
  <c r="C109" i="2" s="1"/>
  <c r="G108" i="2" a="1"/>
  <c r="G108" i="2" s="1"/>
  <c r="F108" i="2" a="1"/>
  <c r="F108" i="2" s="1"/>
  <c r="D108" i="2" a="1"/>
  <c r="D108" i="2" s="1"/>
  <c r="C108" i="2" a="1"/>
  <c r="C108" i="2" s="1"/>
  <c r="G107" i="2" a="1"/>
  <c r="G107" i="2" s="1"/>
  <c r="F107" i="2" a="1"/>
  <c r="F107" i="2" s="1"/>
  <c r="D107" i="2" a="1"/>
  <c r="D107" i="2" s="1"/>
  <c r="C107" i="2" a="1"/>
  <c r="C107" i="2" s="1"/>
  <c r="G104" i="2"/>
  <c r="F104" i="2"/>
  <c r="D104" i="2"/>
  <c r="C104" i="2"/>
  <c r="G103" i="2"/>
  <c r="F103" i="2"/>
  <c r="D103" i="2"/>
  <c r="C103" i="2"/>
  <c r="G102" i="2"/>
  <c r="F102" i="2"/>
  <c r="D102" i="2"/>
  <c r="C102" i="2"/>
  <c r="G101" i="2"/>
  <c r="F101" i="2"/>
  <c r="D101" i="2"/>
  <c r="C101" i="2"/>
  <c r="G97" i="2" a="1"/>
  <c r="G97" i="2" s="1"/>
  <c r="F97" i="2" a="1"/>
  <c r="F97" i="2" s="1"/>
  <c r="D97" i="2" a="1"/>
  <c r="D97" i="2" s="1"/>
  <c r="C97" i="2" a="1"/>
  <c r="C97" i="2" s="1"/>
  <c r="G96" i="2" a="1"/>
  <c r="G96" i="2" s="1"/>
  <c r="F96" i="2" a="1"/>
  <c r="F96" i="2" s="1"/>
  <c r="D96" i="2" a="1"/>
  <c r="D96" i="2" s="1"/>
  <c r="C96" i="2" a="1"/>
  <c r="C96" i="2" s="1"/>
  <c r="G95" i="2" a="1"/>
  <c r="G95" i="2" s="1"/>
  <c r="F95" i="2" a="1"/>
  <c r="F95" i="2" s="1"/>
  <c r="D95" i="2" a="1"/>
  <c r="D95" i="2" s="1"/>
  <c r="C95" i="2" a="1"/>
  <c r="C95" i="2" s="1"/>
  <c r="G92" i="2"/>
  <c r="F92" i="2"/>
  <c r="D92" i="2"/>
  <c r="C92" i="2"/>
  <c r="G91" i="2"/>
  <c r="F91" i="2"/>
  <c r="D91" i="2"/>
  <c r="C91" i="2"/>
  <c r="G90" i="2"/>
  <c r="F90" i="2"/>
  <c r="D90" i="2"/>
  <c r="C90" i="2"/>
  <c r="G89" i="2"/>
  <c r="F89" i="2"/>
  <c r="D89" i="2"/>
  <c r="C89" i="2"/>
  <c r="G85" i="2" a="1"/>
  <c r="G85" i="2" s="1"/>
  <c r="F85" i="2" a="1"/>
  <c r="F85" i="2" s="1"/>
  <c r="D85" i="2" a="1"/>
  <c r="D85" i="2" s="1"/>
  <c r="C85" i="2" a="1"/>
  <c r="C85" i="2" s="1"/>
  <c r="G84" i="2" a="1"/>
  <c r="G84" i="2" s="1"/>
  <c r="F84" i="2" a="1"/>
  <c r="F84" i="2" s="1"/>
  <c r="D84" i="2" a="1"/>
  <c r="D84" i="2" s="1"/>
  <c r="C84" i="2" a="1"/>
  <c r="C84" i="2" s="1"/>
  <c r="G83" i="2" a="1"/>
  <c r="G83" i="2" s="1"/>
  <c r="F83" i="2" a="1"/>
  <c r="F83" i="2" s="1"/>
  <c r="D83" i="2" a="1"/>
  <c r="D83" i="2" s="1"/>
  <c r="C83" i="2" a="1"/>
  <c r="C83" i="2" s="1"/>
  <c r="G80" i="2"/>
  <c r="F80" i="2"/>
  <c r="D80" i="2"/>
  <c r="C80" i="2"/>
  <c r="G79" i="2"/>
  <c r="F79" i="2"/>
  <c r="D79" i="2"/>
  <c r="C79" i="2"/>
  <c r="G78" i="2"/>
  <c r="F78" i="2"/>
  <c r="D78" i="2"/>
  <c r="C78" i="2"/>
  <c r="G77" i="2"/>
  <c r="F77" i="2"/>
  <c r="D77" i="2"/>
  <c r="C77" i="2"/>
  <c r="S73" i="2"/>
  <c r="R73" i="2"/>
  <c r="P73" i="2"/>
  <c r="O73" i="2"/>
  <c r="M73" i="2"/>
  <c r="L73" i="2"/>
  <c r="J73" i="2"/>
  <c r="I73" i="2"/>
  <c r="G73" i="2"/>
  <c r="F73" i="2"/>
  <c r="D73" i="2"/>
  <c r="C73" i="2"/>
  <c r="S72" i="2"/>
  <c r="R72" i="2"/>
  <c r="P72" i="2"/>
  <c r="O72" i="2"/>
  <c r="M72" i="2"/>
  <c r="L72" i="2"/>
  <c r="J72" i="2"/>
  <c r="I72" i="2"/>
  <c r="G72" i="2"/>
  <c r="F72" i="2"/>
  <c r="D72" i="2"/>
  <c r="C72" i="2"/>
  <c r="S71" i="2"/>
  <c r="R71" i="2"/>
  <c r="P71" i="2"/>
  <c r="O71" i="2"/>
  <c r="M71" i="2"/>
  <c r="L71" i="2"/>
  <c r="J71" i="2"/>
  <c r="I71" i="2"/>
  <c r="G71" i="2"/>
  <c r="F71" i="2"/>
  <c r="D71" i="2"/>
  <c r="C71" i="2"/>
  <c r="S70" i="2"/>
  <c r="R70" i="2"/>
  <c r="P70" i="2"/>
  <c r="O70" i="2"/>
  <c r="M70" i="2"/>
  <c r="L70" i="2"/>
  <c r="J70" i="2"/>
  <c r="I70" i="2"/>
  <c r="G70" i="2"/>
  <c r="F70" i="2"/>
  <c r="D70" i="2"/>
  <c r="C70" i="2"/>
  <c r="S66" i="2"/>
  <c r="R66" i="2"/>
  <c r="P66" i="2"/>
  <c r="O66" i="2"/>
  <c r="M66" i="2"/>
  <c r="L66" i="2"/>
  <c r="J66" i="2"/>
  <c r="I66" i="2"/>
  <c r="G66" i="2"/>
  <c r="F66" i="2"/>
  <c r="D66" i="2"/>
  <c r="C66" i="2"/>
  <c r="S65" i="2"/>
  <c r="R65" i="2"/>
  <c r="P65" i="2"/>
  <c r="O65" i="2"/>
  <c r="M65" i="2"/>
  <c r="L65" i="2"/>
  <c r="J65" i="2"/>
  <c r="I65" i="2"/>
  <c r="G65" i="2"/>
  <c r="F65" i="2"/>
  <c r="D65" i="2"/>
  <c r="C65" i="2"/>
  <c r="S64" i="2"/>
  <c r="R64" i="2"/>
  <c r="P64" i="2"/>
  <c r="O64" i="2"/>
  <c r="M64" i="2"/>
  <c r="L64" i="2"/>
  <c r="J64" i="2"/>
  <c r="I64" i="2"/>
  <c r="G64" i="2"/>
  <c r="F64" i="2"/>
  <c r="D64" i="2"/>
  <c r="C64" i="2"/>
  <c r="S63" i="2"/>
  <c r="R63" i="2"/>
  <c r="P63" i="2"/>
  <c r="O63" i="2"/>
  <c r="M63" i="2"/>
  <c r="L63" i="2"/>
  <c r="J63" i="2"/>
  <c r="I63" i="2"/>
  <c r="G63" i="2"/>
  <c r="F63" i="2"/>
  <c r="D63" i="2"/>
  <c r="C63" i="2"/>
  <c r="S59" i="2"/>
  <c r="R59" i="2"/>
  <c r="P59" i="2"/>
  <c r="O59" i="2"/>
  <c r="M59" i="2"/>
  <c r="L59" i="2"/>
  <c r="J59" i="2"/>
  <c r="I59" i="2"/>
  <c r="G59" i="2"/>
  <c r="F59" i="2"/>
  <c r="D59" i="2"/>
  <c r="C59" i="2"/>
  <c r="S58" i="2"/>
  <c r="R58" i="2"/>
  <c r="P58" i="2"/>
  <c r="O58" i="2"/>
  <c r="M58" i="2"/>
  <c r="L58" i="2"/>
  <c r="J58" i="2"/>
  <c r="I58" i="2"/>
  <c r="G58" i="2"/>
  <c r="F58" i="2"/>
  <c r="D58" i="2"/>
  <c r="C58" i="2"/>
  <c r="S57" i="2"/>
  <c r="R57" i="2"/>
  <c r="P57" i="2"/>
  <c r="O57" i="2"/>
  <c r="M57" i="2"/>
  <c r="L57" i="2"/>
  <c r="J57" i="2"/>
  <c r="I57" i="2"/>
  <c r="G57" i="2"/>
  <c r="F57" i="2"/>
  <c r="D57" i="2"/>
  <c r="C57" i="2"/>
  <c r="S56" i="2"/>
  <c r="R56" i="2"/>
  <c r="P56" i="2"/>
  <c r="O56" i="2"/>
  <c r="M56" i="2"/>
  <c r="L56" i="2"/>
  <c r="J56" i="2"/>
  <c r="I56" i="2"/>
  <c r="G56" i="2"/>
  <c r="F56" i="2"/>
  <c r="D56" i="2"/>
  <c r="C56" i="2"/>
  <c r="G109" i="1" a="1"/>
  <c r="G109" i="1" s="1"/>
  <c r="F109" i="1" a="1"/>
  <c r="F109" i="1" s="1"/>
  <c r="D109" i="1" a="1"/>
  <c r="D109" i="1" s="1"/>
  <c r="C109" i="1" a="1"/>
  <c r="C109" i="1" s="1"/>
  <c r="G108" i="1" a="1"/>
  <c r="G108" i="1" s="1"/>
  <c r="F108" i="1" a="1"/>
  <c r="F108" i="1" s="1"/>
  <c r="D108" i="1" a="1"/>
  <c r="D108" i="1" s="1"/>
  <c r="C108" i="1" a="1"/>
  <c r="C108" i="1" s="1"/>
  <c r="G107" i="1" a="1"/>
  <c r="G107" i="1" s="1"/>
  <c r="F107" i="1" a="1"/>
  <c r="F107" i="1" s="1"/>
  <c r="D107" i="1" a="1"/>
  <c r="D107" i="1" s="1"/>
  <c r="C107" i="1" a="1"/>
  <c r="C107" i="1" s="1"/>
  <c r="G104" i="1"/>
  <c r="F104" i="1"/>
  <c r="D104" i="1"/>
  <c r="C104" i="1"/>
  <c r="G103" i="1"/>
  <c r="F103" i="1"/>
  <c r="D103" i="1"/>
  <c r="C103" i="1"/>
  <c r="G102" i="1"/>
  <c r="F102" i="1"/>
  <c r="D102" i="1"/>
  <c r="C102" i="1"/>
  <c r="G101" i="1"/>
  <c r="F101" i="1"/>
  <c r="D101" i="1"/>
  <c r="C101" i="1"/>
  <c r="G97" i="1" a="1"/>
  <c r="G97" i="1" s="1"/>
  <c r="F97" i="1" a="1"/>
  <c r="F97" i="1" s="1"/>
  <c r="D97" i="1" a="1"/>
  <c r="D97" i="1" s="1"/>
  <c r="C97" i="1" a="1"/>
  <c r="C97" i="1" s="1"/>
  <c r="G96" i="1" a="1"/>
  <c r="G96" i="1" s="1"/>
  <c r="F96" i="1" a="1"/>
  <c r="F96" i="1" s="1"/>
  <c r="D96" i="1" a="1"/>
  <c r="D96" i="1" s="1"/>
  <c r="C96" i="1" a="1"/>
  <c r="C96" i="1" s="1"/>
  <c r="G95" i="1" a="1"/>
  <c r="G95" i="1" s="1"/>
  <c r="F95" i="1" a="1"/>
  <c r="F95" i="1" s="1"/>
  <c r="D95" i="1" a="1"/>
  <c r="D95" i="1" s="1"/>
  <c r="C95" i="1" a="1"/>
  <c r="C95" i="1" s="1"/>
  <c r="G92" i="1"/>
  <c r="F92" i="1"/>
  <c r="D92" i="1"/>
  <c r="C92" i="1"/>
  <c r="G91" i="1"/>
  <c r="F91" i="1"/>
  <c r="D91" i="1"/>
  <c r="C91" i="1"/>
  <c r="G90" i="1"/>
  <c r="F90" i="1"/>
  <c r="D90" i="1"/>
  <c r="C90" i="1"/>
  <c r="G89" i="1"/>
  <c r="F89" i="1"/>
  <c r="D89" i="1"/>
  <c r="C89" i="1"/>
  <c r="G85" i="1" a="1"/>
  <c r="G85" i="1" s="1"/>
  <c r="F85" i="1" a="1"/>
  <c r="F85" i="1" s="1"/>
  <c r="D85" i="1" a="1"/>
  <c r="D85" i="1" s="1"/>
  <c r="C85" i="1" a="1"/>
  <c r="C85" i="1" s="1"/>
  <c r="G84" i="1" a="1"/>
  <c r="G84" i="1" s="1"/>
  <c r="F84" i="1" a="1"/>
  <c r="F84" i="1" s="1"/>
  <c r="D84" i="1" a="1"/>
  <c r="D84" i="1" s="1"/>
  <c r="C84" i="1" a="1"/>
  <c r="C84" i="1" s="1"/>
  <c r="G83" i="1" a="1"/>
  <c r="G83" i="1" s="1"/>
  <c r="F83" i="1" a="1"/>
  <c r="F83" i="1" s="1"/>
  <c r="D83" i="1" a="1"/>
  <c r="D83" i="1" s="1"/>
  <c r="C83" i="1" a="1"/>
  <c r="C83" i="1" s="1"/>
  <c r="G80" i="1"/>
  <c r="F80" i="1"/>
  <c r="D80" i="1"/>
  <c r="C80" i="1"/>
  <c r="G79" i="1"/>
  <c r="F79" i="1"/>
  <c r="D79" i="1"/>
  <c r="C79" i="1"/>
  <c r="G78" i="1"/>
  <c r="F78" i="1"/>
  <c r="D78" i="1"/>
  <c r="C78" i="1"/>
  <c r="G77" i="1"/>
  <c r="F77" i="1"/>
  <c r="D77" i="1"/>
  <c r="C77" i="1"/>
  <c r="S73" i="1"/>
  <c r="R73" i="1"/>
  <c r="P73" i="1"/>
  <c r="O73" i="1"/>
  <c r="M73" i="1"/>
  <c r="L73" i="1"/>
  <c r="J73" i="1"/>
  <c r="I73" i="1"/>
  <c r="G73" i="1"/>
  <c r="F73" i="1"/>
  <c r="D73" i="1"/>
  <c r="C73" i="1"/>
  <c r="S72" i="1"/>
  <c r="R72" i="1"/>
  <c r="P72" i="1"/>
  <c r="O72" i="1"/>
  <c r="M72" i="1"/>
  <c r="L72" i="1"/>
  <c r="J72" i="1"/>
  <c r="I72" i="1"/>
  <c r="G72" i="1"/>
  <c r="F72" i="1"/>
  <c r="D72" i="1"/>
  <c r="C72" i="1"/>
  <c r="S71" i="1"/>
  <c r="R71" i="1"/>
  <c r="P71" i="1"/>
  <c r="O71" i="1"/>
  <c r="M71" i="1"/>
  <c r="L71" i="1"/>
  <c r="J71" i="1"/>
  <c r="I71" i="1"/>
  <c r="G71" i="1"/>
  <c r="F71" i="1"/>
  <c r="D71" i="1"/>
  <c r="C71" i="1"/>
  <c r="S70" i="1"/>
  <c r="R70" i="1"/>
  <c r="P70" i="1"/>
  <c r="O70" i="1"/>
  <c r="M70" i="1"/>
  <c r="L70" i="1"/>
  <c r="J70" i="1"/>
  <c r="I70" i="1"/>
  <c r="G70" i="1"/>
  <c r="F70" i="1"/>
  <c r="D70" i="1"/>
  <c r="C70" i="1"/>
  <c r="S66" i="1"/>
  <c r="R66" i="1"/>
  <c r="P66" i="1"/>
  <c r="O66" i="1"/>
  <c r="M66" i="1"/>
  <c r="L66" i="1"/>
  <c r="J66" i="1"/>
  <c r="I66" i="1"/>
  <c r="G66" i="1"/>
  <c r="F66" i="1"/>
  <c r="D66" i="1"/>
  <c r="C66" i="1"/>
  <c r="S65" i="1"/>
  <c r="R65" i="1"/>
  <c r="P65" i="1"/>
  <c r="O65" i="1"/>
  <c r="M65" i="1"/>
  <c r="L65" i="1"/>
  <c r="J65" i="1"/>
  <c r="I65" i="1"/>
  <c r="G65" i="1"/>
  <c r="F65" i="1"/>
  <c r="D65" i="1"/>
  <c r="C65" i="1"/>
  <c r="S64" i="1"/>
  <c r="R64" i="1"/>
  <c r="P64" i="1"/>
  <c r="O64" i="1"/>
  <c r="M64" i="1"/>
  <c r="L64" i="1"/>
  <c r="J64" i="1"/>
  <c r="I64" i="1"/>
  <c r="G64" i="1"/>
  <c r="F64" i="1"/>
  <c r="D64" i="1"/>
  <c r="C64" i="1"/>
  <c r="S63" i="1"/>
  <c r="R63" i="1"/>
  <c r="P63" i="1"/>
  <c r="O63" i="1"/>
  <c r="M63" i="1"/>
  <c r="L63" i="1"/>
  <c r="J63" i="1"/>
  <c r="I63" i="1"/>
  <c r="G63" i="1"/>
  <c r="F63" i="1"/>
  <c r="D63" i="1"/>
  <c r="C63" i="1"/>
  <c r="S59" i="1"/>
  <c r="R59" i="1"/>
  <c r="P59" i="1"/>
  <c r="O59" i="1"/>
  <c r="M59" i="1"/>
  <c r="L59" i="1"/>
  <c r="J59" i="1"/>
  <c r="I59" i="1"/>
  <c r="G59" i="1"/>
  <c r="F59" i="1"/>
  <c r="D59" i="1"/>
  <c r="C59" i="1"/>
  <c r="S58" i="1"/>
  <c r="R58" i="1"/>
  <c r="P58" i="1"/>
  <c r="O58" i="1"/>
  <c r="M58" i="1"/>
  <c r="L58" i="1"/>
  <c r="J58" i="1"/>
  <c r="I58" i="1"/>
  <c r="G58" i="1"/>
  <c r="F58" i="1"/>
  <c r="D58" i="1"/>
  <c r="C58" i="1"/>
  <c r="S57" i="1"/>
  <c r="R57" i="1"/>
  <c r="P57" i="1"/>
  <c r="O57" i="1"/>
  <c r="M57" i="1"/>
  <c r="L57" i="1"/>
  <c r="J57" i="1"/>
  <c r="I57" i="1"/>
  <c r="G57" i="1"/>
  <c r="F57" i="1"/>
  <c r="D57" i="1"/>
  <c r="C57" i="1"/>
  <c r="S56" i="1"/>
  <c r="R56" i="1"/>
  <c r="P56" i="1"/>
  <c r="O56" i="1"/>
  <c r="M56" i="1"/>
  <c r="L56" i="1"/>
  <c r="J56" i="1"/>
  <c r="I56" i="1"/>
  <c r="G56" i="1"/>
  <c r="F56" i="1"/>
  <c r="D56" i="1"/>
  <c r="C56" i="1"/>
  <c r="S73" i="11"/>
  <c r="S72" i="11"/>
  <c r="S71" i="11"/>
  <c r="S70" i="11"/>
  <c r="R73" i="11"/>
  <c r="R72" i="11"/>
  <c r="R71" i="11"/>
  <c r="R70" i="11"/>
  <c r="P73" i="11"/>
  <c r="P72" i="11"/>
  <c r="P71" i="11"/>
  <c r="P70" i="11"/>
  <c r="O73" i="11"/>
  <c r="O72" i="11"/>
  <c r="O71" i="11"/>
  <c r="O70" i="11"/>
  <c r="M73" i="11"/>
  <c r="M72" i="11"/>
  <c r="M71" i="11"/>
  <c r="M70" i="11"/>
  <c r="L73" i="11"/>
  <c r="L72" i="11"/>
  <c r="L71" i="11"/>
  <c r="L70" i="11"/>
  <c r="J73" i="11"/>
  <c r="J72" i="11"/>
  <c r="J71" i="11"/>
  <c r="J70" i="11"/>
  <c r="I73" i="11"/>
  <c r="I72" i="11"/>
  <c r="I71" i="11"/>
  <c r="I70" i="11"/>
  <c r="G73" i="11"/>
  <c r="G72" i="11"/>
  <c r="G71" i="11"/>
  <c r="G70" i="11"/>
  <c r="G66" i="11"/>
  <c r="G65" i="11"/>
  <c r="G64" i="11"/>
  <c r="G63" i="11"/>
  <c r="F73" i="11"/>
  <c r="F72" i="11"/>
  <c r="F71" i="11"/>
  <c r="F70" i="11"/>
  <c r="D73" i="11"/>
  <c r="D72" i="11"/>
  <c r="D71" i="11"/>
  <c r="D70" i="11"/>
  <c r="C73" i="11"/>
  <c r="C72" i="11"/>
  <c r="C71" i="11"/>
  <c r="C70" i="11"/>
  <c r="S66" i="11"/>
  <c r="S65" i="11"/>
  <c r="S64" i="11"/>
  <c r="S63" i="11"/>
  <c r="R66" i="11"/>
  <c r="R65" i="11"/>
  <c r="R64" i="11"/>
  <c r="R63" i="11"/>
  <c r="P66" i="11"/>
  <c r="P65" i="11"/>
  <c r="P64" i="11"/>
  <c r="P63" i="11"/>
  <c r="O66" i="11"/>
  <c r="O65" i="11"/>
  <c r="O64" i="11"/>
  <c r="O63" i="11"/>
  <c r="M66" i="11"/>
  <c r="M65" i="11"/>
  <c r="M64" i="11"/>
  <c r="M63" i="11"/>
  <c r="L66" i="11"/>
  <c r="L65" i="11"/>
  <c r="L64" i="11"/>
  <c r="L63" i="11"/>
  <c r="J66" i="11"/>
  <c r="J65" i="11"/>
  <c r="J64" i="11"/>
  <c r="J63" i="11"/>
  <c r="I66" i="11"/>
  <c r="I65" i="11"/>
  <c r="I64" i="11"/>
  <c r="I63" i="11"/>
  <c r="F66" i="11"/>
  <c r="F65" i="11"/>
  <c r="F64" i="11"/>
  <c r="F63" i="11"/>
  <c r="D66" i="11"/>
  <c r="D65" i="11"/>
  <c r="D64" i="11"/>
  <c r="D63" i="11"/>
  <c r="C66" i="11"/>
  <c r="C65" i="11"/>
  <c r="C64" i="11"/>
  <c r="C63" i="11"/>
  <c r="G109" i="11" a="1"/>
  <c r="G109" i="11" s="1"/>
  <c r="G108" i="11" a="1"/>
  <c r="G108" i="11" s="1"/>
  <c r="G107" i="11" a="1"/>
  <c r="G107" i="11" s="1"/>
  <c r="F109" i="11" a="1"/>
  <c r="F109" i="11" s="1"/>
  <c r="F108" i="11" a="1"/>
  <c r="F108" i="11" s="1"/>
  <c r="F107" i="11" a="1"/>
  <c r="F107" i="11" s="1"/>
  <c r="D109" i="11" a="1"/>
  <c r="D109" i="11" s="1"/>
  <c r="D108" i="11" a="1"/>
  <c r="D108" i="11" s="1"/>
  <c r="D107" i="11" a="1"/>
  <c r="D107" i="11" s="1"/>
  <c r="C109" i="11" a="1"/>
  <c r="C109" i="11"/>
  <c r="C108" i="11" a="1"/>
  <c r="C108" i="11"/>
  <c r="C107" i="11" a="1"/>
  <c r="C107" i="11"/>
  <c r="G104" i="11"/>
  <c r="F104" i="11"/>
  <c r="D104" i="11"/>
  <c r="C104" i="11"/>
  <c r="G103" i="11"/>
  <c r="G102" i="11"/>
  <c r="G101" i="11"/>
  <c r="F103" i="11"/>
  <c r="F102" i="11"/>
  <c r="F101" i="11"/>
  <c r="D103" i="11"/>
  <c r="D102" i="11"/>
  <c r="D101" i="11"/>
  <c r="C103" i="11"/>
  <c r="C102" i="11"/>
  <c r="C101" i="11"/>
  <c r="G92" i="11"/>
  <c r="F92" i="11"/>
  <c r="G80" i="11"/>
  <c r="F80" i="11"/>
  <c r="D92" i="11"/>
  <c r="C92" i="11"/>
  <c r="D80" i="11"/>
  <c r="C80" i="11"/>
  <c r="I59" i="11"/>
  <c r="O59" i="11"/>
  <c r="F59" i="11"/>
  <c r="C59" i="11"/>
  <c r="G97" i="11" a="1"/>
  <c r="G97" i="11" s="1"/>
  <c r="G96" i="11" a="1"/>
  <c r="G96" i="11" s="1"/>
  <c r="G95" i="11" a="1"/>
  <c r="G95" i="11" s="1"/>
  <c r="F97" i="11" a="1"/>
  <c r="F97" i="11" s="1"/>
  <c r="F96" i="11" a="1"/>
  <c r="F96" i="11" s="1"/>
  <c r="F95" i="11" a="1"/>
  <c r="F95" i="11" s="1"/>
  <c r="D97" i="11" a="1"/>
  <c r="D97" i="11" s="1"/>
  <c r="D96" i="11" a="1"/>
  <c r="D96" i="11" s="1"/>
  <c r="D95" i="11" a="1"/>
  <c r="D95" i="11" s="1"/>
  <c r="C97" i="11" a="1"/>
  <c r="C97" i="11"/>
  <c r="C96" i="11" a="1"/>
  <c r="C96" i="11"/>
  <c r="C95" i="11" a="1"/>
  <c r="C95" i="11"/>
  <c r="G91" i="11"/>
  <c r="G90" i="11"/>
  <c r="G89" i="11"/>
  <c r="F91" i="11"/>
  <c r="F90" i="11"/>
  <c r="F89" i="11"/>
  <c r="D91" i="11"/>
  <c r="D90" i="11"/>
  <c r="D89" i="11"/>
  <c r="C91" i="11"/>
  <c r="C90" i="11"/>
  <c r="C89" i="11"/>
  <c r="T52" i="12"/>
  <c r="Q52" i="12"/>
  <c r="N52" i="12"/>
  <c r="K52" i="12"/>
  <c r="H52" i="12"/>
  <c r="E52" i="12"/>
  <c r="T51" i="12"/>
  <c r="Q51" i="12"/>
  <c r="N51" i="12"/>
  <c r="K51" i="12"/>
  <c r="H51" i="12"/>
  <c r="E51" i="12"/>
  <c r="T50" i="12"/>
  <c r="Q50" i="12"/>
  <c r="N50" i="12"/>
  <c r="K50" i="12"/>
  <c r="H50" i="12"/>
  <c r="E50" i="12"/>
  <c r="T49" i="12"/>
  <c r="Q49" i="12"/>
  <c r="N49" i="12"/>
  <c r="K49" i="12"/>
  <c r="H49" i="12"/>
  <c r="E49" i="12"/>
  <c r="T48" i="12"/>
  <c r="Q48" i="12"/>
  <c r="N48" i="12"/>
  <c r="K48" i="12"/>
  <c r="H48" i="12"/>
  <c r="E48" i="12"/>
  <c r="T47" i="12"/>
  <c r="Q47" i="12"/>
  <c r="N47" i="12"/>
  <c r="K47" i="12"/>
  <c r="H47" i="12"/>
  <c r="E47" i="12"/>
  <c r="T46" i="12"/>
  <c r="Q46" i="12"/>
  <c r="N46" i="12"/>
  <c r="K46" i="12"/>
  <c r="H46" i="12"/>
  <c r="E46" i="12"/>
  <c r="T45" i="12"/>
  <c r="Q45" i="12"/>
  <c r="N45" i="12"/>
  <c r="K45" i="12"/>
  <c r="H45" i="12"/>
  <c r="E45" i="12"/>
  <c r="T44" i="12"/>
  <c r="Q44" i="12"/>
  <c r="N44" i="12"/>
  <c r="K44" i="12"/>
  <c r="H44" i="12"/>
  <c r="E44" i="12"/>
  <c r="T43" i="12"/>
  <c r="Q43" i="12"/>
  <c r="N43" i="12"/>
  <c r="K43" i="12"/>
  <c r="H43" i="12"/>
  <c r="E43" i="12"/>
  <c r="T42" i="12"/>
  <c r="Q42" i="12"/>
  <c r="N42" i="12"/>
  <c r="K42" i="12"/>
  <c r="H42" i="12"/>
  <c r="E42" i="12"/>
  <c r="T41" i="12"/>
  <c r="Q41" i="12"/>
  <c r="N41" i="12"/>
  <c r="K41" i="12"/>
  <c r="H41" i="12"/>
  <c r="E41" i="12"/>
  <c r="T40" i="12"/>
  <c r="Q40" i="12"/>
  <c r="N40" i="12"/>
  <c r="K40" i="12"/>
  <c r="H40" i="12"/>
  <c r="E40" i="12"/>
  <c r="T39" i="12"/>
  <c r="Q39" i="12"/>
  <c r="N39" i="12"/>
  <c r="K39" i="12"/>
  <c r="H39" i="12"/>
  <c r="E39" i="12"/>
  <c r="T38" i="12"/>
  <c r="Q38" i="12"/>
  <c r="N38" i="12"/>
  <c r="K38" i="12"/>
  <c r="H38" i="12"/>
  <c r="E38" i="12"/>
  <c r="T37" i="12"/>
  <c r="Q37" i="12"/>
  <c r="N37" i="12"/>
  <c r="K37" i="12"/>
  <c r="H37" i="12"/>
  <c r="E37" i="12"/>
  <c r="T36" i="12"/>
  <c r="Q36" i="12"/>
  <c r="N36" i="12"/>
  <c r="K36" i="12"/>
  <c r="H36" i="12"/>
  <c r="E36" i="12"/>
  <c r="T35" i="12"/>
  <c r="Q35" i="12"/>
  <c r="N35" i="12"/>
  <c r="K35" i="12"/>
  <c r="H35" i="12"/>
  <c r="E35" i="12"/>
  <c r="T34" i="12"/>
  <c r="Q34" i="12"/>
  <c r="N34" i="12"/>
  <c r="K34" i="12"/>
  <c r="H34" i="12"/>
  <c r="E34" i="12"/>
  <c r="T33" i="12"/>
  <c r="Q33" i="12"/>
  <c r="N33" i="12"/>
  <c r="K33" i="12"/>
  <c r="H33" i="12"/>
  <c r="E33" i="12"/>
  <c r="T32" i="12"/>
  <c r="Q32" i="12"/>
  <c r="N32" i="12"/>
  <c r="K32" i="12"/>
  <c r="H32" i="12"/>
  <c r="E32" i="12"/>
  <c r="T31" i="12"/>
  <c r="Q31" i="12"/>
  <c r="N31" i="12"/>
  <c r="K31" i="12"/>
  <c r="H31" i="12"/>
  <c r="E31" i="12"/>
  <c r="T30" i="12"/>
  <c r="Q30" i="12"/>
  <c r="N30" i="12"/>
  <c r="K30" i="12"/>
  <c r="H30" i="12"/>
  <c r="E30" i="12"/>
  <c r="T29" i="12"/>
  <c r="Q29" i="12"/>
  <c r="N29" i="12"/>
  <c r="K29" i="12"/>
  <c r="H29" i="12"/>
  <c r="E29" i="12"/>
  <c r="T28" i="12"/>
  <c r="Q28" i="12"/>
  <c r="N28" i="12"/>
  <c r="K28" i="12"/>
  <c r="H28" i="12"/>
  <c r="E28" i="12"/>
  <c r="T27" i="12"/>
  <c r="Q27" i="12"/>
  <c r="N27" i="12"/>
  <c r="K27" i="12"/>
  <c r="H27" i="12"/>
  <c r="E27" i="12"/>
  <c r="T26" i="12"/>
  <c r="Q26" i="12"/>
  <c r="N26" i="12"/>
  <c r="K26" i="12"/>
  <c r="H26" i="12"/>
  <c r="E26" i="12"/>
  <c r="T25" i="12"/>
  <c r="Q25" i="12"/>
  <c r="N25" i="12"/>
  <c r="K25" i="12"/>
  <c r="H25" i="12"/>
  <c r="E25" i="12"/>
  <c r="T24" i="12"/>
  <c r="Q24" i="12"/>
  <c r="N24" i="12"/>
  <c r="K24" i="12"/>
  <c r="H24" i="12"/>
  <c r="E24" i="12"/>
  <c r="T23" i="12"/>
  <c r="Q23" i="12"/>
  <c r="N23" i="12"/>
  <c r="K23" i="12"/>
  <c r="H23" i="12"/>
  <c r="E23" i="12"/>
  <c r="T22" i="12"/>
  <c r="Q22" i="12"/>
  <c r="N22" i="12"/>
  <c r="K22" i="12"/>
  <c r="H22" i="12"/>
  <c r="E22" i="12"/>
  <c r="T21" i="12"/>
  <c r="Q21" i="12"/>
  <c r="N21" i="12"/>
  <c r="K21" i="12"/>
  <c r="H21" i="12"/>
  <c r="E21" i="12"/>
  <c r="T20" i="12"/>
  <c r="Q20" i="12"/>
  <c r="N20" i="12"/>
  <c r="K20" i="12"/>
  <c r="H20" i="12"/>
  <c r="E20" i="12"/>
  <c r="T19" i="12"/>
  <c r="Q19" i="12"/>
  <c r="N19" i="12"/>
  <c r="K19" i="12"/>
  <c r="H19" i="12"/>
  <c r="E19" i="12"/>
  <c r="T18" i="12"/>
  <c r="Q18" i="12"/>
  <c r="N18" i="12"/>
  <c r="K18" i="12"/>
  <c r="H18" i="12"/>
  <c r="E18" i="12"/>
  <c r="T17" i="12"/>
  <c r="Q17" i="12"/>
  <c r="N17" i="12"/>
  <c r="K17" i="12"/>
  <c r="H17" i="12"/>
  <c r="E17" i="12"/>
  <c r="T16" i="12"/>
  <c r="Q16" i="12"/>
  <c r="N16" i="12"/>
  <c r="K16" i="12"/>
  <c r="H16" i="12"/>
  <c r="E16" i="12"/>
  <c r="T15" i="12"/>
  <c r="Q15" i="12"/>
  <c r="N15" i="12"/>
  <c r="K15" i="12"/>
  <c r="H15" i="12"/>
  <c r="E15" i="12"/>
  <c r="T14" i="12"/>
  <c r="Q14" i="12"/>
  <c r="N14" i="12"/>
  <c r="K14" i="12"/>
  <c r="H14" i="12"/>
  <c r="E14" i="12"/>
  <c r="T13" i="12"/>
  <c r="Q13" i="12"/>
  <c r="N13" i="12"/>
  <c r="K13" i="12"/>
  <c r="H13" i="12"/>
  <c r="E13" i="12"/>
  <c r="T12" i="12"/>
  <c r="Q12" i="12"/>
  <c r="N12" i="12"/>
  <c r="K12" i="12"/>
  <c r="H12" i="12"/>
  <c r="E12" i="12"/>
  <c r="T11" i="12"/>
  <c r="Q11" i="12"/>
  <c r="N11" i="12"/>
  <c r="K11" i="12"/>
  <c r="H11" i="12"/>
  <c r="E11" i="12"/>
  <c r="T10" i="12"/>
  <c r="Q10" i="12"/>
  <c r="N10" i="12"/>
  <c r="K10" i="12"/>
  <c r="H10" i="12"/>
  <c r="E10" i="12"/>
  <c r="T9" i="12"/>
  <c r="Q9" i="12"/>
  <c r="N9" i="12"/>
  <c r="K9" i="12"/>
  <c r="H9" i="12"/>
  <c r="E9" i="12"/>
  <c r="T8" i="12"/>
  <c r="Q8" i="12"/>
  <c r="N8" i="12"/>
  <c r="K8" i="12"/>
  <c r="H8" i="12"/>
  <c r="E8" i="12"/>
  <c r="T7" i="12"/>
  <c r="Q7" i="12"/>
  <c r="N7" i="12"/>
  <c r="K7" i="12"/>
  <c r="H7" i="12"/>
  <c r="E7" i="12"/>
  <c r="T6" i="12"/>
  <c r="Q6" i="12"/>
  <c r="N6" i="12"/>
  <c r="K6" i="12"/>
  <c r="H6" i="12"/>
  <c r="E6" i="12"/>
  <c r="T5" i="12"/>
  <c r="Q5" i="12"/>
  <c r="N5" i="12"/>
  <c r="K5" i="12"/>
  <c r="H5" i="12"/>
  <c r="E5" i="12"/>
  <c r="G85" i="11" a="1"/>
  <c r="G85" i="11" s="1"/>
  <c r="F85" i="11" a="1"/>
  <c r="F85" i="11" s="1"/>
  <c r="G84" i="11" a="1"/>
  <c r="G84" i="11" s="1"/>
  <c r="F84" i="11" a="1"/>
  <c r="F84" i="11" s="1"/>
  <c r="G83" i="11" a="1"/>
  <c r="G83" i="11" s="1"/>
  <c r="F83" i="11" a="1"/>
  <c r="F83" i="11" s="1"/>
  <c r="G79" i="11"/>
  <c r="F79" i="11"/>
  <c r="G78" i="11"/>
  <c r="F78" i="11"/>
  <c r="G77" i="11"/>
  <c r="F77" i="11"/>
  <c r="D85" i="11" a="1"/>
  <c r="D85" i="11" s="1"/>
  <c r="D84" i="11" a="1"/>
  <c r="D84" i="11" s="1"/>
  <c r="D83" i="11" a="1"/>
  <c r="D83" i="11" s="1"/>
  <c r="D79" i="11"/>
  <c r="D78" i="11"/>
  <c r="D77" i="11"/>
  <c r="C85" i="11" a="1"/>
  <c r="C85" i="11"/>
  <c r="C84" i="11" a="1"/>
  <c r="C84" i="11"/>
  <c r="C83" i="11" a="1"/>
  <c r="C83" i="11"/>
  <c r="C78" i="11"/>
  <c r="C79" i="11"/>
  <c r="C77" i="11"/>
  <c r="S59" i="11"/>
  <c r="R59" i="11"/>
  <c r="P59" i="11"/>
  <c r="M59" i="11"/>
  <c r="L59" i="11"/>
  <c r="J59" i="11"/>
  <c r="G59" i="11"/>
  <c r="D59" i="11"/>
  <c r="S58" i="11"/>
  <c r="R58" i="11"/>
  <c r="P58" i="11"/>
  <c r="O58" i="11"/>
  <c r="M58" i="11"/>
  <c r="L58" i="11"/>
  <c r="J58" i="11"/>
  <c r="I58" i="11"/>
  <c r="G58" i="11"/>
  <c r="F58" i="11"/>
  <c r="D58" i="11"/>
  <c r="C58" i="11"/>
  <c r="S57" i="11"/>
  <c r="R57" i="11"/>
  <c r="P57" i="11"/>
  <c r="O57" i="11"/>
  <c r="M57" i="11"/>
  <c r="L57" i="11"/>
  <c r="J57" i="11"/>
  <c r="I57" i="11"/>
  <c r="G57" i="11"/>
  <c r="F57" i="11"/>
  <c r="D57" i="11"/>
  <c r="C57" i="11"/>
  <c r="S56" i="11"/>
  <c r="R56" i="11"/>
  <c r="P56" i="11"/>
  <c r="O56" i="11"/>
  <c r="M56" i="11"/>
  <c r="L56" i="11"/>
  <c r="J56" i="11"/>
  <c r="I56" i="11"/>
  <c r="G56" i="11"/>
  <c r="F56" i="11"/>
  <c r="D56" i="11"/>
  <c r="C56" i="11"/>
  <c r="T52" i="11"/>
  <c r="Q52" i="11"/>
  <c r="N52" i="11"/>
  <c r="K52" i="11"/>
  <c r="H52" i="11"/>
  <c r="E52" i="11"/>
  <c r="T51" i="11"/>
  <c r="Q51" i="11"/>
  <c r="N51" i="11"/>
  <c r="K51" i="11"/>
  <c r="H51" i="11"/>
  <c r="E51" i="11"/>
  <c r="T50" i="11"/>
  <c r="Q50" i="11"/>
  <c r="N50" i="11"/>
  <c r="K50" i="11"/>
  <c r="H50" i="11"/>
  <c r="E50" i="11"/>
  <c r="T49" i="11"/>
  <c r="Q49" i="11"/>
  <c r="N49" i="11"/>
  <c r="K49" i="11"/>
  <c r="H49" i="11"/>
  <c r="E49" i="11"/>
  <c r="T48" i="11"/>
  <c r="Q48" i="11"/>
  <c r="N48" i="11"/>
  <c r="K48" i="11"/>
  <c r="H48" i="11"/>
  <c r="E48" i="11"/>
  <c r="T47" i="11"/>
  <c r="Q47" i="11"/>
  <c r="N47" i="11"/>
  <c r="K47" i="11"/>
  <c r="H47" i="11"/>
  <c r="E47" i="11"/>
  <c r="T46" i="11"/>
  <c r="Q46" i="11"/>
  <c r="N46" i="11"/>
  <c r="K46" i="11"/>
  <c r="H46" i="11"/>
  <c r="E46" i="11"/>
  <c r="T45" i="11"/>
  <c r="Q45" i="11"/>
  <c r="N45" i="11"/>
  <c r="K45" i="11"/>
  <c r="H45" i="11"/>
  <c r="E45" i="11"/>
  <c r="T44" i="11"/>
  <c r="Q44" i="11"/>
  <c r="N44" i="11"/>
  <c r="K44" i="11"/>
  <c r="H44" i="11"/>
  <c r="E44" i="11"/>
  <c r="T43" i="11"/>
  <c r="Q43" i="11"/>
  <c r="N43" i="11"/>
  <c r="K43" i="11"/>
  <c r="H43" i="11"/>
  <c r="E43" i="11"/>
  <c r="T42" i="11"/>
  <c r="Q42" i="11"/>
  <c r="N42" i="11"/>
  <c r="K42" i="11"/>
  <c r="H42" i="11"/>
  <c r="E42" i="11"/>
  <c r="T41" i="11"/>
  <c r="Q41" i="11"/>
  <c r="N41" i="11"/>
  <c r="K41" i="11"/>
  <c r="H41" i="11"/>
  <c r="E41" i="11"/>
  <c r="T40" i="11"/>
  <c r="Q40" i="11"/>
  <c r="N40" i="11"/>
  <c r="K40" i="11"/>
  <c r="H40" i="11"/>
  <c r="E40" i="11"/>
  <c r="T39" i="11"/>
  <c r="Q39" i="11"/>
  <c r="N39" i="11"/>
  <c r="K39" i="11"/>
  <c r="H39" i="11"/>
  <c r="E39" i="11"/>
  <c r="T38" i="11"/>
  <c r="Q38" i="11"/>
  <c r="N38" i="11"/>
  <c r="K38" i="11"/>
  <c r="H38" i="11"/>
  <c r="E38" i="11"/>
  <c r="T37" i="11"/>
  <c r="Q37" i="11"/>
  <c r="N37" i="11"/>
  <c r="K37" i="11"/>
  <c r="H37" i="11"/>
  <c r="E37" i="11"/>
  <c r="T36" i="11"/>
  <c r="Q36" i="11"/>
  <c r="N36" i="11"/>
  <c r="K36" i="11"/>
  <c r="H36" i="11"/>
  <c r="E36" i="11"/>
  <c r="T35" i="11"/>
  <c r="Q35" i="11"/>
  <c r="N35" i="11"/>
  <c r="K35" i="11"/>
  <c r="H35" i="11"/>
  <c r="E35" i="11"/>
  <c r="T34" i="11"/>
  <c r="Q34" i="11"/>
  <c r="N34" i="11"/>
  <c r="K34" i="11"/>
  <c r="H34" i="11"/>
  <c r="E34" i="11"/>
  <c r="T33" i="11"/>
  <c r="Q33" i="11"/>
  <c r="N33" i="11"/>
  <c r="K33" i="11"/>
  <c r="H33" i="11"/>
  <c r="E33" i="11"/>
  <c r="T32" i="11"/>
  <c r="Q32" i="11"/>
  <c r="N32" i="11"/>
  <c r="K32" i="11"/>
  <c r="H32" i="11"/>
  <c r="E32" i="11"/>
  <c r="T31" i="11"/>
  <c r="Q31" i="11"/>
  <c r="N31" i="11"/>
  <c r="K31" i="11"/>
  <c r="H31" i="11"/>
  <c r="E31" i="11"/>
  <c r="T30" i="11"/>
  <c r="Q30" i="11"/>
  <c r="N30" i="11"/>
  <c r="K30" i="11"/>
  <c r="H30" i="11"/>
  <c r="E30" i="11"/>
  <c r="T29" i="11"/>
  <c r="Q29" i="11"/>
  <c r="N29" i="11"/>
  <c r="K29" i="11"/>
  <c r="H29" i="11"/>
  <c r="E29" i="11"/>
  <c r="T28" i="11"/>
  <c r="Q28" i="11"/>
  <c r="N28" i="11"/>
  <c r="K28" i="11"/>
  <c r="H28" i="11"/>
  <c r="E28" i="11"/>
  <c r="T27" i="11"/>
  <c r="Q27" i="11"/>
  <c r="N27" i="11"/>
  <c r="K27" i="11"/>
  <c r="H27" i="11"/>
  <c r="E27" i="11"/>
  <c r="T26" i="11"/>
  <c r="Q26" i="11"/>
  <c r="N26" i="11"/>
  <c r="K26" i="11"/>
  <c r="H26" i="11"/>
  <c r="E26" i="11"/>
  <c r="T25" i="11"/>
  <c r="Q25" i="11"/>
  <c r="N25" i="11"/>
  <c r="K25" i="11"/>
  <c r="H25" i="11"/>
  <c r="E25" i="11"/>
  <c r="T24" i="11"/>
  <c r="Q24" i="11"/>
  <c r="N24" i="11"/>
  <c r="K24" i="11"/>
  <c r="H24" i="11"/>
  <c r="E24" i="11"/>
  <c r="T23" i="11"/>
  <c r="Q23" i="11"/>
  <c r="N23" i="11"/>
  <c r="K23" i="11"/>
  <c r="H23" i="11"/>
  <c r="E23" i="11"/>
  <c r="T22" i="11"/>
  <c r="Q22" i="11"/>
  <c r="N22" i="11"/>
  <c r="K22" i="11"/>
  <c r="H22" i="11"/>
  <c r="E22" i="11"/>
  <c r="T21" i="11"/>
  <c r="Q21" i="11"/>
  <c r="N21" i="11"/>
  <c r="K21" i="11"/>
  <c r="H21" i="11"/>
  <c r="E21" i="11"/>
  <c r="T20" i="11"/>
  <c r="Q20" i="11"/>
  <c r="N20" i="11"/>
  <c r="K20" i="11"/>
  <c r="H20" i="11"/>
  <c r="E20" i="11"/>
  <c r="T19" i="11"/>
  <c r="Q19" i="11"/>
  <c r="N19" i="11"/>
  <c r="K19" i="11"/>
  <c r="H19" i="11"/>
  <c r="E19" i="11"/>
  <c r="T18" i="11"/>
  <c r="Q18" i="11"/>
  <c r="N18" i="11"/>
  <c r="K18" i="11"/>
  <c r="H18" i="11"/>
  <c r="E18" i="11"/>
  <c r="T17" i="11"/>
  <c r="Q17" i="11"/>
  <c r="N17" i="11"/>
  <c r="K17" i="11"/>
  <c r="H17" i="11"/>
  <c r="E17" i="11"/>
  <c r="T16" i="11"/>
  <c r="Q16" i="11"/>
  <c r="N16" i="11"/>
  <c r="K16" i="11"/>
  <c r="H16" i="11"/>
  <c r="E16" i="11"/>
  <c r="T15" i="11"/>
  <c r="Q15" i="11"/>
  <c r="N15" i="11"/>
  <c r="K15" i="11"/>
  <c r="H15" i="11"/>
  <c r="E15" i="11"/>
  <c r="T14" i="11"/>
  <c r="Q14" i="11"/>
  <c r="N14" i="11"/>
  <c r="K14" i="11"/>
  <c r="H14" i="11"/>
  <c r="E14" i="11"/>
  <c r="T13" i="11"/>
  <c r="Q13" i="11"/>
  <c r="N13" i="11"/>
  <c r="K13" i="11"/>
  <c r="H13" i="11"/>
  <c r="E13" i="11"/>
  <c r="T12" i="11"/>
  <c r="Q12" i="11"/>
  <c r="N12" i="11"/>
  <c r="K12" i="11"/>
  <c r="H12" i="11"/>
  <c r="E12" i="11"/>
  <c r="T11" i="11"/>
  <c r="Q11" i="11"/>
  <c r="N11" i="11"/>
  <c r="K11" i="11"/>
  <c r="H11" i="11"/>
  <c r="E11" i="11"/>
  <c r="T10" i="11"/>
  <c r="Q10" i="11"/>
  <c r="N10" i="11"/>
  <c r="K10" i="11"/>
  <c r="H10" i="11"/>
  <c r="E10" i="11"/>
  <c r="T9" i="11"/>
  <c r="Q9" i="11"/>
  <c r="N9" i="11"/>
  <c r="K9" i="11"/>
  <c r="H9" i="11"/>
  <c r="E9" i="11"/>
  <c r="T8" i="11"/>
  <c r="Q8" i="11"/>
  <c r="N8" i="11"/>
  <c r="K8" i="11"/>
  <c r="H8" i="11"/>
  <c r="E8" i="11"/>
  <c r="T7" i="11"/>
  <c r="Q7" i="11"/>
  <c r="N7" i="11"/>
  <c r="K7" i="11"/>
  <c r="H7" i="11"/>
  <c r="E7" i="11"/>
  <c r="T6" i="11"/>
  <c r="Q6" i="11"/>
  <c r="N6" i="11"/>
  <c r="K6" i="11"/>
  <c r="H6" i="11"/>
  <c r="E6" i="11"/>
  <c r="T5" i="11"/>
  <c r="Q5" i="11"/>
  <c r="N5" i="11"/>
  <c r="K5" i="11"/>
  <c r="H5" i="11"/>
  <c r="E5" i="11"/>
  <c r="T52" i="10"/>
  <c r="Q52" i="10"/>
  <c r="N52" i="10"/>
  <c r="K52" i="10"/>
  <c r="H52" i="10"/>
  <c r="E52" i="10"/>
  <c r="T51" i="10"/>
  <c r="Q51" i="10"/>
  <c r="N51" i="10"/>
  <c r="K51" i="10"/>
  <c r="H51" i="10"/>
  <c r="E51" i="10"/>
  <c r="T50" i="10"/>
  <c r="Q50" i="10"/>
  <c r="N50" i="10"/>
  <c r="K50" i="10"/>
  <c r="H50" i="10"/>
  <c r="E50" i="10"/>
  <c r="T49" i="10"/>
  <c r="Q49" i="10"/>
  <c r="N49" i="10"/>
  <c r="K49" i="10"/>
  <c r="H49" i="10"/>
  <c r="E49" i="10"/>
  <c r="T48" i="10"/>
  <c r="Q48" i="10"/>
  <c r="N48" i="10"/>
  <c r="K48" i="10"/>
  <c r="H48" i="10"/>
  <c r="E48" i="10"/>
  <c r="T47" i="10"/>
  <c r="Q47" i="10"/>
  <c r="N47" i="10"/>
  <c r="K47" i="10"/>
  <c r="H47" i="10"/>
  <c r="E47" i="10"/>
  <c r="T46" i="10"/>
  <c r="Q46" i="10"/>
  <c r="N46" i="10"/>
  <c r="K46" i="10"/>
  <c r="H46" i="10"/>
  <c r="E46" i="10"/>
  <c r="T45" i="10"/>
  <c r="Q45" i="10"/>
  <c r="N45" i="10"/>
  <c r="K45" i="10"/>
  <c r="H45" i="10"/>
  <c r="E45" i="10"/>
  <c r="T44" i="10"/>
  <c r="Q44" i="10"/>
  <c r="N44" i="10"/>
  <c r="K44" i="10"/>
  <c r="H44" i="10"/>
  <c r="E44" i="10"/>
  <c r="T43" i="10"/>
  <c r="Q43" i="10"/>
  <c r="N43" i="10"/>
  <c r="K43" i="10"/>
  <c r="H43" i="10"/>
  <c r="E43" i="10"/>
  <c r="T42" i="10"/>
  <c r="Q42" i="10"/>
  <c r="N42" i="10"/>
  <c r="K42" i="10"/>
  <c r="H42" i="10"/>
  <c r="E42" i="10"/>
  <c r="T41" i="10"/>
  <c r="Q41" i="10"/>
  <c r="N41" i="10"/>
  <c r="K41" i="10"/>
  <c r="H41" i="10"/>
  <c r="E41" i="10"/>
  <c r="T40" i="10"/>
  <c r="Q40" i="10"/>
  <c r="N40" i="10"/>
  <c r="K40" i="10"/>
  <c r="H40" i="10"/>
  <c r="E40" i="10"/>
  <c r="T39" i="10"/>
  <c r="Q39" i="10"/>
  <c r="N39" i="10"/>
  <c r="K39" i="10"/>
  <c r="H39" i="10"/>
  <c r="E39" i="10"/>
  <c r="T38" i="10"/>
  <c r="Q38" i="10"/>
  <c r="N38" i="10"/>
  <c r="K38" i="10"/>
  <c r="H38" i="10"/>
  <c r="E38" i="10"/>
  <c r="T37" i="10"/>
  <c r="Q37" i="10"/>
  <c r="N37" i="10"/>
  <c r="K37" i="10"/>
  <c r="H37" i="10"/>
  <c r="E37" i="10"/>
  <c r="T36" i="10"/>
  <c r="Q36" i="10"/>
  <c r="N36" i="10"/>
  <c r="K36" i="10"/>
  <c r="H36" i="10"/>
  <c r="E36" i="10"/>
  <c r="T35" i="10"/>
  <c r="Q35" i="10"/>
  <c r="N35" i="10"/>
  <c r="K35" i="10"/>
  <c r="H35" i="10"/>
  <c r="E35" i="10"/>
  <c r="T34" i="10"/>
  <c r="Q34" i="10"/>
  <c r="N34" i="10"/>
  <c r="K34" i="10"/>
  <c r="H34" i="10"/>
  <c r="E34" i="10"/>
  <c r="T33" i="10"/>
  <c r="Q33" i="10"/>
  <c r="N33" i="10"/>
  <c r="K33" i="10"/>
  <c r="H33" i="10"/>
  <c r="E33" i="10"/>
  <c r="T32" i="10"/>
  <c r="Q32" i="10"/>
  <c r="N32" i="10"/>
  <c r="K32" i="10"/>
  <c r="H32" i="10"/>
  <c r="E32" i="10"/>
  <c r="T31" i="10"/>
  <c r="Q31" i="10"/>
  <c r="N31" i="10"/>
  <c r="K31" i="10"/>
  <c r="H31" i="10"/>
  <c r="E31" i="10"/>
  <c r="T30" i="10"/>
  <c r="Q30" i="10"/>
  <c r="N30" i="10"/>
  <c r="K30" i="10"/>
  <c r="H30" i="10"/>
  <c r="E30" i="10"/>
  <c r="T29" i="10"/>
  <c r="Q29" i="10"/>
  <c r="N29" i="10"/>
  <c r="K29" i="10"/>
  <c r="H29" i="10"/>
  <c r="E29" i="10"/>
  <c r="T28" i="10"/>
  <c r="Q28" i="10"/>
  <c r="N28" i="10"/>
  <c r="K28" i="10"/>
  <c r="H28" i="10"/>
  <c r="E28" i="10"/>
  <c r="T27" i="10"/>
  <c r="Q27" i="10"/>
  <c r="N27" i="10"/>
  <c r="K27" i="10"/>
  <c r="H27" i="10"/>
  <c r="E27" i="10"/>
  <c r="T26" i="10"/>
  <c r="Q26" i="10"/>
  <c r="N26" i="10"/>
  <c r="K26" i="10"/>
  <c r="H26" i="10"/>
  <c r="E26" i="10"/>
  <c r="T25" i="10"/>
  <c r="Q25" i="10"/>
  <c r="N25" i="10"/>
  <c r="K25" i="10"/>
  <c r="H25" i="10"/>
  <c r="E25" i="10"/>
  <c r="T24" i="10"/>
  <c r="Q24" i="10"/>
  <c r="N24" i="10"/>
  <c r="K24" i="10"/>
  <c r="H24" i="10"/>
  <c r="E24" i="10"/>
  <c r="T23" i="10"/>
  <c r="Q23" i="10"/>
  <c r="N23" i="10"/>
  <c r="K23" i="10"/>
  <c r="H23" i="10"/>
  <c r="E23" i="10"/>
  <c r="T22" i="10"/>
  <c r="Q22" i="10"/>
  <c r="N22" i="10"/>
  <c r="K22" i="10"/>
  <c r="H22" i="10"/>
  <c r="E22" i="10"/>
  <c r="T21" i="10"/>
  <c r="Q21" i="10"/>
  <c r="N21" i="10"/>
  <c r="K21" i="10"/>
  <c r="H21" i="10"/>
  <c r="E21" i="10"/>
  <c r="T20" i="10"/>
  <c r="Q20" i="10"/>
  <c r="N20" i="10"/>
  <c r="K20" i="10"/>
  <c r="H20" i="10"/>
  <c r="E20" i="10"/>
  <c r="T19" i="10"/>
  <c r="Q19" i="10"/>
  <c r="N19" i="10"/>
  <c r="K19" i="10"/>
  <c r="H19" i="10"/>
  <c r="E19" i="10"/>
  <c r="T18" i="10"/>
  <c r="Q18" i="10"/>
  <c r="N18" i="10"/>
  <c r="K18" i="10"/>
  <c r="H18" i="10"/>
  <c r="E18" i="10"/>
  <c r="T17" i="10"/>
  <c r="Q17" i="10"/>
  <c r="N17" i="10"/>
  <c r="K17" i="10"/>
  <c r="H17" i="10"/>
  <c r="E17" i="10"/>
  <c r="T16" i="10"/>
  <c r="Q16" i="10"/>
  <c r="N16" i="10"/>
  <c r="K16" i="10"/>
  <c r="H16" i="10"/>
  <c r="E16" i="10"/>
  <c r="T15" i="10"/>
  <c r="Q15" i="10"/>
  <c r="N15" i="10"/>
  <c r="K15" i="10"/>
  <c r="H15" i="10"/>
  <c r="E15" i="10"/>
  <c r="T14" i="10"/>
  <c r="Q14" i="10"/>
  <c r="N14" i="10"/>
  <c r="K14" i="10"/>
  <c r="H14" i="10"/>
  <c r="E14" i="10"/>
  <c r="T13" i="10"/>
  <c r="Q13" i="10"/>
  <c r="N13" i="10"/>
  <c r="K13" i="10"/>
  <c r="H13" i="10"/>
  <c r="E13" i="10"/>
  <c r="T12" i="10"/>
  <c r="Q12" i="10"/>
  <c r="N12" i="10"/>
  <c r="K12" i="10"/>
  <c r="H12" i="10"/>
  <c r="E12" i="10"/>
  <c r="T11" i="10"/>
  <c r="Q11" i="10"/>
  <c r="N11" i="10"/>
  <c r="K11" i="10"/>
  <c r="H11" i="10"/>
  <c r="E11" i="10"/>
  <c r="T10" i="10"/>
  <c r="Q10" i="10"/>
  <c r="N10" i="10"/>
  <c r="K10" i="10"/>
  <c r="H10" i="10"/>
  <c r="E10" i="10"/>
  <c r="T9" i="10"/>
  <c r="Q9" i="10"/>
  <c r="N9" i="10"/>
  <c r="K9" i="10"/>
  <c r="H9" i="10"/>
  <c r="E9" i="10"/>
  <c r="T8" i="10"/>
  <c r="Q8" i="10"/>
  <c r="N8" i="10"/>
  <c r="K8" i="10"/>
  <c r="H8" i="10"/>
  <c r="E8" i="10"/>
  <c r="T7" i="10"/>
  <c r="Q7" i="10"/>
  <c r="N7" i="10"/>
  <c r="K7" i="10"/>
  <c r="H7" i="10"/>
  <c r="E7" i="10"/>
  <c r="T6" i="10"/>
  <c r="Q6" i="10"/>
  <c r="N6" i="10"/>
  <c r="K6" i="10"/>
  <c r="H6" i="10"/>
  <c r="E6" i="10"/>
  <c r="T5" i="10"/>
  <c r="Q5" i="10"/>
  <c r="N5" i="10"/>
  <c r="K5" i="10"/>
  <c r="H5" i="10"/>
  <c r="E5" i="10"/>
  <c r="T52" i="9"/>
  <c r="Q52" i="9"/>
  <c r="N52" i="9"/>
  <c r="K52" i="9"/>
  <c r="H52" i="9"/>
  <c r="E52" i="9"/>
  <c r="T51" i="9"/>
  <c r="Q51" i="9"/>
  <c r="N51" i="9"/>
  <c r="K51" i="9"/>
  <c r="H51" i="9"/>
  <c r="E51" i="9"/>
  <c r="T50" i="9"/>
  <c r="Q50" i="9"/>
  <c r="N50" i="9"/>
  <c r="K50" i="9"/>
  <c r="H50" i="9"/>
  <c r="E50" i="9"/>
  <c r="T49" i="9"/>
  <c r="Q49" i="9"/>
  <c r="N49" i="9"/>
  <c r="K49" i="9"/>
  <c r="H49" i="9"/>
  <c r="E49" i="9"/>
  <c r="T48" i="9"/>
  <c r="Q48" i="9"/>
  <c r="N48" i="9"/>
  <c r="K48" i="9"/>
  <c r="H48" i="9"/>
  <c r="E48" i="9"/>
  <c r="T47" i="9"/>
  <c r="Q47" i="9"/>
  <c r="N47" i="9"/>
  <c r="K47" i="9"/>
  <c r="H47" i="9"/>
  <c r="E47" i="9"/>
  <c r="T46" i="9"/>
  <c r="Q46" i="9"/>
  <c r="N46" i="9"/>
  <c r="K46" i="9"/>
  <c r="H46" i="9"/>
  <c r="E46" i="9"/>
  <c r="T45" i="9"/>
  <c r="Q45" i="9"/>
  <c r="N45" i="9"/>
  <c r="K45" i="9"/>
  <c r="H45" i="9"/>
  <c r="E45" i="9"/>
  <c r="T44" i="9"/>
  <c r="Q44" i="9"/>
  <c r="N44" i="9"/>
  <c r="K44" i="9"/>
  <c r="H44" i="9"/>
  <c r="E44" i="9"/>
  <c r="T43" i="9"/>
  <c r="Q43" i="9"/>
  <c r="N43" i="9"/>
  <c r="K43" i="9"/>
  <c r="H43" i="9"/>
  <c r="E43" i="9"/>
  <c r="T42" i="9"/>
  <c r="Q42" i="9"/>
  <c r="N42" i="9"/>
  <c r="K42" i="9"/>
  <c r="H42" i="9"/>
  <c r="E42" i="9"/>
  <c r="T41" i="9"/>
  <c r="Q41" i="9"/>
  <c r="N41" i="9"/>
  <c r="K41" i="9"/>
  <c r="H41" i="9"/>
  <c r="E41" i="9"/>
  <c r="T40" i="9"/>
  <c r="Q40" i="9"/>
  <c r="N40" i="9"/>
  <c r="K40" i="9"/>
  <c r="H40" i="9"/>
  <c r="E40" i="9"/>
  <c r="T39" i="9"/>
  <c r="Q39" i="9"/>
  <c r="N39" i="9"/>
  <c r="K39" i="9"/>
  <c r="H39" i="9"/>
  <c r="E39" i="9"/>
  <c r="T38" i="9"/>
  <c r="Q38" i="9"/>
  <c r="N38" i="9"/>
  <c r="K38" i="9"/>
  <c r="H38" i="9"/>
  <c r="E38" i="9"/>
  <c r="T37" i="9"/>
  <c r="Q37" i="9"/>
  <c r="N37" i="9"/>
  <c r="K37" i="9"/>
  <c r="H37" i="9"/>
  <c r="E37" i="9"/>
  <c r="T36" i="9"/>
  <c r="Q36" i="9"/>
  <c r="N36" i="9"/>
  <c r="K36" i="9"/>
  <c r="H36" i="9"/>
  <c r="E36" i="9"/>
  <c r="T35" i="9"/>
  <c r="Q35" i="9"/>
  <c r="N35" i="9"/>
  <c r="K35" i="9"/>
  <c r="H35" i="9"/>
  <c r="E35" i="9"/>
  <c r="T34" i="9"/>
  <c r="Q34" i="9"/>
  <c r="N34" i="9"/>
  <c r="K34" i="9"/>
  <c r="H34" i="9"/>
  <c r="E34" i="9"/>
  <c r="T33" i="9"/>
  <c r="Q33" i="9"/>
  <c r="N33" i="9"/>
  <c r="K33" i="9"/>
  <c r="H33" i="9"/>
  <c r="E33" i="9"/>
  <c r="T32" i="9"/>
  <c r="Q32" i="9"/>
  <c r="N32" i="9"/>
  <c r="K32" i="9"/>
  <c r="H32" i="9"/>
  <c r="E32" i="9"/>
  <c r="T31" i="9"/>
  <c r="Q31" i="9"/>
  <c r="N31" i="9"/>
  <c r="K31" i="9"/>
  <c r="H31" i="9"/>
  <c r="E31" i="9"/>
  <c r="T30" i="9"/>
  <c r="Q30" i="9"/>
  <c r="N30" i="9"/>
  <c r="K30" i="9"/>
  <c r="H30" i="9"/>
  <c r="E30" i="9"/>
  <c r="T29" i="9"/>
  <c r="Q29" i="9"/>
  <c r="N29" i="9"/>
  <c r="K29" i="9"/>
  <c r="H29" i="9"/>
  <c r="E29" i="9"/>
  <c r="T28" i="9"/>
  <c r="Q28" i="9"/>
  <c r="N28" i="9"/>
  <c r="K28" i="9"/>
  <c r="H28" i="9"/>
  <c r="E28" i="9"/>
  <c r="T27" i="9"/>
  <c r="Q27" i="9"/>
  <c r="N27" i="9"/>
  <c r="K27" i="9"/>
  <c r="H27" i="9"/>
  <c r="E27" i="9"/>
  <c r="T26" i="9"/>
  <c r="Q26" i="9"/>
  <c r="N26" i="9"/>
  <c r="K26" i="9"/>
  <c r="H26" i="9"/>
  <c r="E26" i="9"/>
  <c r="T25" i="9"/>
  <c r="Q25" i="9"/>
  <c r="N25" i="9"/>
  <c r="K25" i="9"/>
  <c r="H25" i="9"/>
  <c r="E25" i="9"/>
  <c r="T24" i="9"/>
  <c r="Q24" i="9"/>
  <c r="N24" i="9"/>
  <c r="K24" i="9"/>
  <c r="H24" i="9"/>
  <c r="E24" i="9"/>
  <c r="T23" i="9"/>
  <c r="Q23" i="9"/>
  <c r="N23" i="9"/>
  <c r="K23" i="9"/>
  <c r="H23" i="9"/>
  <c r="E23" i="9"/>
  <c r="T22" i="9"/>
  <c r="Q22" i="9"/>
  <c r="N22" i="9"/>
  <c r="K22" i="9"/>
  <c r="H22" i="9"/>
  <c r="E22" i="9"/>
  <c r="T21" i="9"/>
  <c r="Q21" i="9"/>
  <c r="N21" i="9"/>
  <c r="K21" i="9"/>
  <c r="H21" i="9"/>
  <c r="E21" i="9"/>
  <c r="T20" i="9"/>
  <c r="Q20" i="9"/>
  <c r="N20" i="9"/>
  <c r="K20" i="9"/>
  <c r="H20" i="9"/>
  <c r="E20" i="9"/>
  <c r="T19" i="9"/>
  <c r="Q19" i="9"/>
  <c r="N19" i="9"/>
  <c r="K19" i="9"/>
  <c r="H19" i="9"/>
  <c r="E19" i="9"/>
  <c r="T18" i="9"/>
  <c r="Q18" i="9"/>
  <c r="N18" i="9"/>
  <c r="K18" i="9"/>
  <c r="H18" i="9"/>
  <c r="E18" i="9"/>
  <c r="T17" i="9"/>
  <c r="Q17" i="9"/>
  <c r="N17" i="9"/>
  <c r="K17" i="9"/>
  <c r="H17" i="9"/>
  <c r="E17" i="9"/>
  <c r="T16" i="9"/>
  <c r="Q16" i="9"/>
  <c r="N16" i="9"/>
  <c r="K16" i="9"/>
  <c r="H16" i="9"/>
  <c r="E16" i="9"/>
  <c r="T15" i="9"/>
  <c r="Q15" i="9"/>
  <c r="N15" i="9"/>
  <c r="K15" i="9"/>
  <c r="H15" i="9"/>
  <c r="E15" i="9"/>
  <c r="T14" i="9"/>
  <c r="Q14" i="9"/>
  <c r="N14" i="9"/>
  <c r="K14" i="9"/>
  <c r="H14" i="9"/>
  <c r="E14" i="9"/>
  <c r="T13" i="9"/>
  <c r="Q13" i="9"/>
  <c r="N13" i="9"/>
  <c r="K13" i="9"/>
  <c r="H13" i="9"/>
  <c r="E13" i="9"/>
  <c r="T12" i="9"/>
  <c r="Q12" i="9"/>
  <c r="N12" i="9"/>
  <c r="K12" i="9"/>
  <c r="H12" i="9"/>
  <c r="E12" i="9"/>
  <c r="T11" i="9"/>
  <c r="Q11" i="9"/>
  <c r="N11" i="9"/>
  <c r="K11" i="9"/>
  <c r="H11" i="9"/>
  <c r="E11" i="9"/>
  <c r="T10" i="9"/>
  <c r="Q10" i="9"/>
  <c r="N10" i="9"/>
  <c r="K10" i="9"/>
  <c r="H10" i="9"/>
  <c r="E10" i="9"/>
  <c r="T9" i="9"/>
  <c r="Q9" i="9"/>
  <c r="N9" i="9"/>
  <c r="K9" i="9"/>
  <c r="H9" i="9"/>
  <c r="E9" i="9"/>
  <c r="T8" i="9"/>
  <c r="Q8" i="9"/>
  <c r="N8" i="9"/>
  <c r="K8" i="9"/>
  <c r="H8" i="9"/>
  <c r="E8" i="9"/>
  <c r="T7" i="9"/>
  <c r="Q7" i="9"/>
  <c r="N7" i="9"/>
  <c r="K7" i="9"/>
  <c r="H7" i="9"/>
  <c r="E7" i="9"/>
  <c r="T6" i="9"/>
  <c r="Q6" i="9"/>
  <c r="N6" i="9"/>
  <c r="K6" i="9"/>
  <c r="H6" i="9"/>
  <c r="E6" i="9"/>
  <c r="T5" i="9"/>
  <c r="Q5" i="9"/>
  <c r="N5" i="9"/>
  <c r="K5" i="9"/>
  <c r="H5" i="9"/>
  <c r="E5" i="9"/>
  <c r="T52" i="8"/>
  <c r="Q52" i="8"/>
  <c r="N52" i="8"/>
  <c r="K52" i="8"/>
  <c r="H52" i="8"/>
  <c r="E52" i="8"/>
  <c r="T51" i="8"/>
  <c r="Q51" i="8"/>
  <c r="N51" i="8"/>
  <c r="K51" i="8"/>
  <c r="H51" i="8"/>
  <c r="E51" i="8"/>
  <c r="T50" i="8"/>
  <c r="Q50" i="8"/>
  <c r="N50" i="8"/>
  <c r="K50" i="8"/>
  <c r="H50" i="8"/>
  <c r="E50" i="8"/>
  <c r="T49" i="8"/>
  <c r="Q49" i="8"/>
  <c r="N49" i="8"/>
  <c r="K49" i="8"/>
  <c r="H49" i="8"/>
  <c r="E49" i="8"/>
  <c r="T48" i="8"/>
  <c r="Q48" i="8"/>
  <c r="N48" i="8"/>
  <c r="K48" i="8"/>
  <c r="H48" i="8"/>
  <c r="E48" i="8"/>
  <c r="T47" i="8"/>
  <c r="Q47" i="8"/>
  <c r="N47" i="8"/>
  <c r="K47" i="8"/>
  <c r="H47" i="8"/>
  <c r="E47" i="8"/>
  <c r="T46" i="8"/>
  <c r="Q46" i="8"/>
  <c r="N46" i="8"/>
  <c r="K46" i="8"/>
  <c r="H46" i="8"/>
  <c r="E46" i="8"/>
  <c r="T45" i="8"/>
  <c r="Q45" i="8"/>
  <c r="N45" i="8"/>
  <c r="K45" i="8"/>
  <c r="H45" i="8"/>
  <c r="E45" i="8"/>
  <c r="T44" i="8"/>
  <c r="Q44" i="8"/>
  <c r="N44" i="8"/>
  <c r="K44" i="8"/>
  <c r="H44" i="8"/>
  <c r="E44" i="8"/>
  <c r="T43" i="8"/>
  <c r="Q43" i="8"/>
  <c r="N43" i="8"/>
  <c r="K43" i="8"/>
  <c r="H43" i="8"/>
  <c r="E43" i="8"/>
  <c r="T42" i="8"/>
  <c r="Q42" i="8"/>
  <c r="N42" i="8"/>
  <c r="K42" i="8"/>
  <c r="H42" i="8"/>
  <c r="E42" i="8"/>
  <c r="T41" i="8"/>
  <c r="Q41" i="8"/>
  <c r="N41" i="8"/>
  <c r="K41" i="8"/>
  <c r="H41" i="8"/>
  <c r="E41" i="8"/>
  <c r="T40" i="8"/>
  <c r="Q40" i="8"/>
  <c r="N40" i="8"/>
  <c r="K40" i="8"/>
  <c r="H40" i="8"/>
  <c r="E40" i="8"/>
  <c r="T39" i="8"/>
  <c r="Q39" i="8"/>
  <c r="N39" i="8"/>
  <c r="K39" i="8"/>
  <c r="H39" i="8"/>
  <c r="E39" i="8"/>
  <c r="T38" i="8"/>
  <c r="Q38" i="8"/>
  <c r="N38" i="8"/>
  <c r="K38" i="8"/>
  <c r="H38" i="8"/>
  <c r="E38" i="8"/>
  <c r="T37" i="8"/>
  <c r="Q37" i="8"/>
  <c r="N37" i="8"/>
  <c r="K37" i="8"/>
  <c r="H37" i="8"/>
  <c r="E37" i="8"/>
  <c r="T36" i="8"/>
  <c r="Q36" i="8"/>
  <c r="N36" i="8"/>
  <c r="K36" i="8"/>
  <c r="H36" i="8"/>
  <c r="E36" i="8"/>
  <c r="T35" i="8"/>
  <c r="Q35" i="8"/>
  <c r="N35" i="8"/>
  <c r="K35" i="8"/>
  <c r="H35" i="8"/>
  <c r="E35" i="8"/>
  <c r="T34" i="8"/>
  <c r="Q34" i="8"/>
  <c r="N34" i="8"/>
  <c r="K34" i="8"/>
  <c r="H34" i="8"/>
  <c r="E34" i="8"/>
  <c r="T33" i="8"/>
  <c r="Q33" i="8"/>
  <c r="N33" i="8"/>
  <c r="K33" i="8"/>
  <c r="H33" i="8"/>
  <c r="E33" i="8"/>
  <c r="T32" i="8"/>
  <c r="Q32" i="8"/>
  <c r="N32" i="8"/>
  <c r="K32" i="8"/>
  <c r="H32" i="8"/>
  <c r="E32" i="8"/>
  <c r="T31" i="8"/>
  <c r="Q31" i="8"/>
  <c r="N31" i="8"/>
  <c r="K31" i="8"/>
  <c r="H31" i="8"/>
  <c r="E31" i="8"/>
  <c r="T30" i="8"/>
  <c r="Q30" i="8"/>
  <c r="N30" i="8"/>
  <c r="K30" i="8"/>
  <c r="H30" i="8"/>
  <c r="E30" i="8"/>
  <c r="T29" i="8"/>
  <c r="Q29" i="8"/>
  <c r="N29" i="8"/>
  <c r="K29" i="8"/>
  <c r="H29" i="8"/>
  <c r="E29" i="8"/>
  <c r="T28" i="8"/>
  <c r="Q28" i="8"/>
  <c r="N28" i="8"/>
  <c r="K28" i="8"/>
  <c r="H28" i="8"/>
  <c r="E28" i="8"/>
  <c r="T27" i="8"/>
  <c r="Q27" i="8"/>
  <c r="N27" i="8"/>
  <c r="K27" i="8"/>
  <c r="H27" i="8"/>
  <c r="E27" i="8"/>
  <c r="T26" i="8"/>
  <c r="Q26" i="8"/>
  <c r="N26" i="8"/>
  <c r="K26" i="8"/>
  <c r="H26" i="8"/>
  <c r="E26" i="8"/>
  <c r="T25" i="8"/>
  <c r="Q25" i="8"/>
  <c r="N25" i="8"/>
  <c r="K25" i="8"/>
  <c r="H25" i="8"/>
  <c r="E25" i="8"/>
  <c r="T24" i="8"/>
  <c r="Q24" i="8"/>
  <c r="N24" i="8"/>
  <c r="K24" i="8"/>
  <c r="H24" i="8"/>
  <c r="E24" i="8"/>
  <c r="T23" i="8"/>
  <c r="Q23" i="8"/>
  <c r="N23" i="8"/>
  <c r="K23" i="8"/>
  <c r="H23" i="8"/>
  <c r="E23" i="8"/>
  <c r="T22" i="8"/>
  <c r="Q22" i="8"/>
  <c r="N22" i="8"/>
  <c r="K22" i="8"/>
  <c r="H22" i="8"/>
  <c r="E22" i="8"/>
  <c r="T21" i="8"/>
  <c r="Q21" i="8"/>
  <c r="N21" i="8"/>
  <c r="K21" i="8"/>
  <c r="H21" i="8"/>
  <c r="E21" i="8"/>
  <c r="T20" i="8"/>
  <c r="Q20" i="8"/>
  <c r="N20" i="8"/>
  <c r="K20" i="8"/>
  <c r="H20" i="8"/>
  <c r="E20" i="8"/>
  <c r="T19" i="8"/>
  <c r="Q19" i="8"/>
  <c r="N19" i="8"/>
  <c r="K19" i="8"/>
  <c r="H19" i="8"/>
  <c r="E19" i="8"/>
  <c r="T18" i="8"/>
  <c r="Q18" i="8"/>
  <c r="N18" i="8"/>
  <c r="K18" i="8"/>
  <c r="H18" i="8"/>
  <c r="E18" i="8"/>
  <c r="T17" i="8"/>
  <c r="Q17" i="8"/>
  <c r="N17" i="8"/>
  <c r="K17" i="8"/>
  <c r="H17" i="8"/>
  <c r="E17" i="8"/>
  <c r="T16" i="8"/>
  <c r="Q16" i="8"/>
  <c r="N16" i="8"/>
  <c r="K16" i="8"/>
  <c r="H16" i="8"/>
  <c r="E16" i="8"/>
  <c r="T15" i="8"/>
  <c r="Q15" i="8"/>
  <c r="N15" i="8"/>
  <c r="K15" i="8"/>
  <c r="H15" i="8"/>
  <c r="E15" i="8"/>
  <c r="T14" i="8"/>
  <c r="Q14" i="8"/>
  <c r="N14" i="8"/>
  <c r="K14" i="8"/>
  <c r="H14" i="8"/>
  <c r="E14" i="8"/>
  <c r="T13" i="8"/>
  <c r="Q13" i="8"/>
  <c r="N13" i="8"/>
  <c r="K13" i="8"/>
  <c r="H13" i="8"/>
  <c r="E13" i="8"/>
  <c r="T12" i="8"/>
  <c r="Q12" i="8"/>
  <c r="N12" i="8"/>
  <c r="K12" i="8"/>
  <c r="H12" i="8"/>
  <c r="E12" i="8"/>
  <c r="T11" i="8"/>
  <c r="Q11" i="8"/>
  <c r="N11" i="8"/>
  <c r="K11" i="8"/>
  <c r="H11" i="8"/>
  <c r="E11" i="8"/>
  <c r="T10" i="8"/>
  <c r="Q10" i="8"/>
  <c r="N10" i="8"/>
  <c r="K10" i="8"/>
  <c r="H10" i="8"/>
  <c r="E10" i="8"/>
  <c r="T9" i="8"/>
  <c r="Q9" i="8"/>
  <c r="N9" i="8"/>
  <c r="K9" i="8"/>
  <c r="H9" i="8"/>
  <c r="E9" i="8"/>
  <c r="T8" i="8"/>
  <c r="Q8" i="8"/>
  <c r="N8" i="8"/>
  <c r="K8" i="8"/>
  <c r="H8" i="8"/>
  <c r="E8" i="8"/>
  <c r="T7" i="8"/>
  <c r="Q7" i="8"/>
  <c r="N7" i="8"/>
  <c r="K7" i="8"/>
  <c r="H7" i="8"/>
  <c r="E7" i="8"/>
  <c r="T6" i="8"/>
  <c r="Q6" i="8"/>
  <c r="N6" i="8"/>
  <c r="K6" i="8"/>
  <c r="H6" i="8"/>
  <c r="E6" i="8"/>
  <c r="T5" i="8"/>
  <c r="Q5" i="8"/>
  <c r="N5" i="8"/>
  <c r="K5" i="8"/>
  <c r="H5" i="8"/>
  <c r="E5" i="8"/>
  <c r="T52" i="7"/>
  <c r="Q52" i="7"/>
  <c r="N52" i="7"/>
  <c r="K52" i="7"/>
  <c r="H52" i="7"/>
  <c r="E52" i="7"/>
  <c r="T51" i="7"/>
  <c r="Q51" i="7"/>
  <c r="N51" i="7"/>
  <c r="K51" i="7"/>
  <c r="H51" i="7"/>
  <c r="E51" i="7"/>
  <c r="T50" i="7"/>
  <c r="Q50" i="7"/>
  <c r="N50" i="7"/>
  <c r="K50" i="7"/>
  <c r="H50" i="7"/>
  <c r="E50" i="7"/>
  <c r="T49" i="7"/>
  <c r="Q49" i="7"/>
  <c r="N49" i="7"/>
  <c r="K49" i="7"/>
  <c r="H49" i="7"/>
  <c r="E49" i="7"/>
  <c r="T48" i="7"/>
  <c r="Q48" i="7"/>
  <c r="N48" i="7"/>
  <c r="K48" i="7"/>
  <c r="H48" i="7"/>
  <c r="E48" i="7"/>
  <c r="T47" i="7"/>
  <c r="Q47" i="7"/>
  <c r="N47" i="7"/>
  <c r="K47" i="7"/>
  <c r="H47" i="7"/>
  <c r="E47" i="7"/>
  <c r="T46" i="7"/>
  <c r="Q46" i="7"/>
  <c r="N46" i="7"/>
  <c r="K46" i="7"/>
  <c r="H46" i="7"/>
  <c r="E46" i="7"/>
  <c r="T45" i="7"/>
  <c r="Q45" i="7"/>
  <c r="N45" i="7"/>
  <c r="K45" i="7"/>
  <c r="H45" i="7"/>
  <c r="E45" i="7"/>
  <c r="T44" i="7"/>
  <c r="Q44" i="7"/>
  <c r="N44" i="7"/>
  <c r="K44" i="7"/>
  <c r="H44" i="7"/>
  <c r="E44" i="7"/>
  <c r="T43" i="7"/>
  <c r="Q43" i="7"/>
  <c r="N43" i="7"/>
  <c r="K43" i="7"/>
  <c r="H43" i="7"/>
  <c r="E43" i="7"/>
  <c r="T42" i="7"/>
  <c r="Q42" i="7"/>
  <c r="N42" i="7"/>
  <c r="K42" i="7"/>
  <c r="H42" i="7"/>
  <c r="E42" i="7"/>
  <c r="T41" i="7"/>
  <c r="Q41" i="7"/>
  <c r="N41" i="7"/>
  <c r="K41" i="7"/>
  <c r="H41" i="7"/>
  <c r="E41" i="7"/>
  <c r="T40" i="7"/>
  <c r="Q40" i="7"/>
  <c r="N40" i="7"/>
  <c r="K40" i="7"/>
  <c r="H40" i="7"/>
  <c r="E40" i="7"/>
  <c r="T39" i="7"/>
  <c r="Q39" i="7"/>
  <c r="N39" i="7"/>
  <c r="K39" i="7"/>
  <c r="H39" i="7"/>
  <c r="E39" i="7"/>
  <c r="T38" i="7"/>
  <c r="Q38" i="7"/>
  <c r="N38" i="7"/>
  <c r="K38" i="7"/>
  <c r="H38" i="7"/>
  <c r="E38" i="7"/>
  <c r="T37" i="7"/>
  <c r="Q37" i="7"/>
  <c r="N37" i="7"/>
  <c r="K37" i="7"/>
  <c r="H37" i="7"/>
  <c r="E37" i="7"/>
  <c r="T36" i="7"/>
  <c r="Q36" i="7"/>
  <c r="N36" i="7"/>
  <c r="K36" i="7"/>
  <c r="H36" i="7"/>
  <c r="E36" i="7"/>
  <c r="T35" i="7"/>
  <c r="Q35" i="7"/>
  <c r="N35" i="7"/>
  <c r="K35" i="7"/>
  <c r="H35" i="7"/>
  <c r="E35" i="7"/>
  <c r="T34" i="7"/>
  <c r="Q34" i="7"/>
  <c r="N34" i="7"/>
  <c r="K34" i="7"/>
  <c r="H34" i="7"/>
  <c r="E34" i="7"/>
  <c r="T33" i="7"/>
  <c r="Q33" i="7"/>
  <c r="N33" i="7"/>
  <c r="K33" i="7"/>
  <c r="H33" i="7"/>
  <c r="E33" i="7"/>
  <c r="T32" i="7"/>
  <c r="Q32" i="7"/>
  <c r="N32" i="7"/>
  <c r="K32" i="7"/>
  <c r="H32" i="7"/>
  <c r="E32" i="7"/>
  <c r="T31" i="7"/>
  <c r="Q31" i="7"/>
  <c r="N31" i="7"/>
  <c r="K31" i="7"/>
  <c r="H31" i="7"/>
  <c r="E31" i="7"/>
  <c r="T30" i="7"/>
  <c r="Q30" i="7"/>
  <c r="N30" i="7"/>
  <c r="K30" i="7"/>
  <c r="H30" i="7"/>
  <c r="E30" i="7"/>
  <c r="T29" i="7"/>
  <c r="Q29" i="7"/>
  <c r="N29" i="7"/>
  <c r="K29" i="7"/>
  <c r="H29" i="7"/>
  <c r="E29" i="7"/>
  <c r="T28" i="7"/>
  <c r="Q28" i="7"/>
  <c r="N28" i="7"/>
  <c r="K28" i="7"/>
  <c r="H28" i="7"/>
  <c r="E28" i="7"/>
  <c r="T27" i="7"/>
  <c r="Q27" i="7"/>
  <c r="N27" i="7"/>
  <c r="K27" i="7"/>
  <c r="H27" i="7"/>
  <c r="E27" i="7"/>
  <c r="T26" i="7"/>
  <c r="Q26" i="7"/>
  <c r="N26" i="7"/>
  <c r="K26" i="7"/>
  <c r="H26" i="7"/>
  <c r="E26" i="7"/>
  <c r="T25" i="7"/>
  <c r="Q25" i="7"/>
  <c r="N25" i="7"/>
  <c r="K25" i="7"/>
  <c r="H25" i="7"/>
  <c r="E25" i="7"/>
  <c r="T24" i="7"/>
  <c r="Q24" i="7"/>
  <c r="N24" i="7"/>
  <c r="K24" i="7"/>
  <c r="H24" i="7"/>
  <c r="E24" i="7"/>
  <c r="T23" i="7"/>
  <c r="Q23" i="7"/>
  <c r="N23" i="7"/>
  <c r="K23" i="7"/>
  <c r="H23" i="7"/>
  <c r="E23" i="7"/>
  <c r="T22" i="7"/>
  <c r="Q22" i="7"/>
  <c r="N22" i="7"/>
  <c r="K22" i="7"/>
  <c r="H22" i="7"/>
  <c r="E22" i="7"/>
  <c r="T21" i="7"/>
  <c r="Q21" i="7"/>
  <c r="N21" i="7"/>
  <c r="K21" i="7"/>
  <c r="H21" i="7"/>
  <c r="E21" i="7"/>
  <c r="T20" i="7"/>
  <c r="Q20" i="7"/>
  <c r="N20" i="7"/>
  <c r="K20" i="7"/>
  <c r="H20" i="7"/>
  <c r="E20" i="7"/>
  <c r="T19" i="7"/>
  <c r="Q19" i="7"/>
  <c r="N19" i="7"/>
  <c r="K19" i="7"/>
  <c r="H19" i="7"/>
  <c r="E19" i="7"/>
  <c r="T18" i="7"/>
  <c r="Q18" i="7"/>
  <c r="N18" i="7"/>
  <c r="K18" i="7"/>
  <c r="H18" i="7"/>
  <c r="E18" i="7"/>
  <c r="T17" i="7"/>
  <c r="Q17" i="7"/>
  <c r="N17" i="7"/>
  <c r="K17" i="7"/>
  <c r="H17" i="7"/>
  <c r="E17" i="7"/>
  <c r="T16" i="7"/>
  <c r="Q16" i="7"/>
  <c r="N16" i="7"/>
  <c r="K16" i="7"/>
  <c r="H16" i="7"/>
  <c r="E16" i="7"/>
  <c r="T15" i="7"/>
  <c r="Q15" i="7"/>
  <c r="N15" i="7"/>
  <c r="K15" i="7"/>
  <c r="H15" i="7"/>
  <c r="E15" i="7"/>
  <c r="T14" i="7"/>
  <c r="Q14" i="7"/>
  <c r="N14" i="7"/>
  <c r="K14" i="7"/>
  <c r="H14" i="7"/>
  <c r="E14" i="7"/>
  <c r="T13" i="7"/>
  <c r="Q13" i="7"/>
  <c r="N13" i="7"/>
  <c r="K13" i="7"/>
  <c r="H13" i="7"/>
  <c r="E13" i="7"/>
  <c r="T12" i="7"/>
  <c r="Q12" i="7"/>
  <c r="N12" i="7"/>
  <c r="K12" i="7"/>
  <c r="H12" i="7"/>
  <c r="E12" i="7"/>
  <c r="T11" i="7"/>
  <c r="Q11" i="7"/>
  <c r="N11" i="7"/>
  <c r="K11" i="7"/>
  <c r="H11" i="7"/>
  <c r="E11" i="7"/>
  <c r="T10" i="7"/>
  <c r="Q10" i="7"/>
  <c r="N10" i="7"/>
  <c r="K10" i="7"/>
  <c r="H10" i="7"/>
  <c r="E10" i="7"/>
  <c r="T9" i="7"/>
  <c r="Q9" i="7"/>
  <c r="N9" i="7"/>
  <c r="K9" i="7"/>
  <c r="H9" i="7"/>
  <c r="E9" i="7"/>
  <c r="T8" i="7"/>
  <c r="Q8" i="7"/>
  <c r="N8" i="7"/>
  <c r="K8" i="7"/>
  <c r="H8" i="7"/>
  <c r="E8" i="7"/>
  <c r="T7" i="7"/>
  <c r="Q7" i="7"/>
  <c r="N7" i="7"/>
  <c r="K7" i="7"/>
  <c r="H7" i="7"/>
  <c r="E7" i="7"/>
  <c r="T6" i="7"/>
  <c r="Q6" i="7"/>
  <c r="N6" i="7"/>
  <c r="K6" i="7"/>
  <c r="H6" i="7"/>
  <c r="E6" i="7"/>
  <c r="T5" i="7"/>
  <c r="Q5" i="7"/>
  <c r="N5" i="7"/>
  <c r="K5" i="7"/>
  <c r="H5" i="7"/>
  <c r="E5" i="7"/>
  <c r="T52" i="6"/>
  <c r="Q52" i="6"/>
  <c r="N52" i="6"/>
  <c r="K52" i="6"/>
  <c r="H52" i="6"/>
  <c r="E52" i="6"/>
  <c r="T51" i="6"/>
  <c r="Q51" i="6"/>
  <c r="N51" i="6"/>
  <c r="K51" i="6"/>
  <c r="H51" i="6"/>
  <c r="E51" i="6"/>
  <c r="T50" i="6"/>
  <c r="Q50" i="6"/>
  <c r="N50" i="6"/>
  <c r="K50" i="6"/>
  <c r="H50" i="6"/>
  <c r="E50" i="6"/>
  <c r="T49" i="6"/>
  <c r="Q49" i="6"/>
  <c r="N49" i="6"/>
  <c r="K49" i="6"/>
  <c r="H49" i="6"/>
  <c r="E49" i="6"/>
  <c r="T48" i="6"/>
  <c r="Q48" i="6"/>
  <c r="N48" i="6"/>
  <c r="K48" i="6"/>
  <c r="H48" i="6"/>
  <c r="E48" i="6"/>
  <c r="T47" i="6"/>
  <c r="Q47" i="6"/>
  <c r="N47" i="6"/>
  <c r="K47" i="6"/>
  <c r="H47" i="6"/>
  <c r="E47" i="6"/>
  <c r="T46" i="6"/>
  <c r="Q46" i="6"/>
  <c r="N46" i="6"/>
  <c r="K46" i="6"/>
  <c r="H46" i="6"/>
  <c r="E46" i="6"/>
  <c r="T45" i="6"/>
  <c r="Q45" i="6"/>
  <c r="N45" i="6"/>
  <c r="K45" i="6"/>
  <c r="H45" i="6"/>
  <c r="E45" i="6"/>
  <c r="T44" i="6"/>
  <c r="Q44" i="6"/>
  <c r="N44" i="6"/>
  <c r="K44" i="6"/>
  <c r="H44" i="6"/>
  <c r="E44" i="6"/>
  <c r="T43" i="6"/>
  <c r="Q43" i="6"/>
  <c r="N43" i="6"/>
  <c r="K43" i="6"/>
  <c r="H43" i="6"/>
  <c r="E43" i="6"/>
  <c r="T42" i="6"/>
  <c r="Q42" i="6"/>
  <c r="N42" i="6"/>
  <c r="K42" i="6"/>
  <c r="H42" i="6"/>
  <c r="E42" i="6"/>
  <c r="T41" i="6"/>
  <c r="Q41" i="6"/>
  <c r="N41" i="6"/>
  <c r="K41" i="6"/>
  <c r="H41" i="6"/>
  <c r="E41" i="6"/>
  <c r="T40" i="6"/>
  <c r="Q40" i="6"/>
  <c r="N40" i="6"/>
  <c r="K40" i="6"/>
  <c r="H40" i="6"/>
  <c r="E40" i="6"/>
  <c r="T39" i="6"/>
  <c r="Q39" i="6"/>
  <c r="N39" i="6"/>
  <c r="K39" i="6"/>
  <c r="H39" i="6"/>
  <c r="E39" i="6"/>
  <c r="T38" i="6"/>
  <c r="Q38" i="6"/>
  <c r="N38" i="6"/>
  <c r="K38" i="6"/>
  <c r="H38" i="6"/>
  <c r="E38" i="6"/>
  <c r="T37" i="6"/>
  <c r="Q37" i="6"/>
  <c r="N37" i="6"/>
  <c r="K37" i="6"/>
  <c r="H37" i="6"/>
  <c r="E37" i="6"/>
  <c r="T36" i="6"/>
  <c r="Q36" i="6"/>
  <c r="N36" i="6"/>
  <c r="K36" i="6"/>
  <c r="H36" i="6"/>
  <c r="E36" i="6"/>
  <c r="T35" i="6"/>
  <c r="Q35" i="6"/>
  <c r="N35" i="6"/>
  <c r="K35" i="6"/>
  <c r="H35" i="6"/>
  <c r="E35" i="6"/>
  <c r="T34" i="6"/>
  <c r="Q34" i="6"/>
  <c r="N34" i="6"/>
  <c r="K34" i="6"/>
  <c r="H34" i="6"/>
  <c r="E34" i="6"/>
  <c r="T33" i="6"/>
  <c r="Q33" i="6"/>
  <c r="N33" i="6"/>
  <c r="K33" i="6"/>
  <c r="H33" i="6"/>
  <c r="E33" i="6"/>
  <c r="T32" i="6"/>
  <c r="Q32" i="6"/>
  <c r="N32" i="6"/>
  <c r="K32" i="6"/>
  <c r="H32" i="6"/>
  <c r="E32" i="6"/>
  <c r="T31" i="6"/>
  <c r="Q31" i="6"/>
  <c r="N31" i="6"/>
  <c r="K31" i="6"/>
  <c r="H31" i="6"/>
  <c r="E31" i="6"/>
  <c r="T30" i="6"/>
  <c r="Q30" i="6"/>
  <c r="N30" i="6"/>
  <c r="K30" i="6"/>
  <c r="H30" i="6"/>
  <c r="E30" i="6"/>
  <c r="T29" i="6"/>
  <c r="Q29" i="6"/>
  <c r="N29" i="6"/>
  <c r="K29" i="6"/>
  <c r="H29" i="6"/>
  <c r="E29" i="6"/>
  <c r="T28" i="6"/>
  <c r="Q28" i="6"/>
  <c r="N28" i="6"/>
  <c r="K28" i="6"/>
  <c r="H28" i="6"/>
  <c r="E28" i="6"/>
  <c r="T27" i="6"/>
  <c r="Q27" i="6"/>
  <c r="N27" i="6"/>
  <c r="K27" i="6"/>
  <c r="H27" i="6"/>
  <c r="E27" i="6"/>
  <c r="T26" i="6"/>
  <c r="Q26" i="6"/>
  <c r="N26" i="6"/>
  <c r="K26" i="6"/>
  <c r="H26" i="6"/>
  <c r="E26" i="6"/>
  <c r="T25" i="6"/>
  <c r="Q25" i="6"/>
  <c r="N25" i="6"/>
  <c r="K25" i="6"/>
  <c r="H25" i="6"/>
  <c r="E25" i="6"/>
  <c r="T24" i="6"/>
  <c r="Q24" i="6"/>
  <c r="N24" i="6"/>
  <c r="K24" i="6"/>
  <c r="H24" i="6"/>
  <c r="E24" i="6"/>
  <c r="T23" i="6"/>
  <c r="Q23" i="6"/>
  <c r="N23" i="6"/>
  <c r="K23" i="6"/>
  <c r="H23" i="6"/>
  <c r="E23" i="6"/>
  <c r="T22" i="6"/>
  <c r="Q22" i="6"/>
  <c r="N22" i="6"/>
  <c r="K22" i="6"/>
  <c r="H22" i="6"/>
  <c r="E22" i="6"/>
  <c r="T21" i="6"/>
  <c r="Q21" i="6"/>
  <c r="N21" i="6"/>
  <c r="K21" i="6"/>
  <c r="H21" i="6"/>
  <c r="E21" i="6"/>
  <c r="T20" i="6"/>
  <c r="Q20" i="6"/>
  <c r="N20" i="6"/>
  <c r="K20" i="6"/>
  <c r="H20" i="6"/>
  <c r="E20" i="6"/>
  <c r="T19" i="6"/>
  <c r="Q19" i="6"/>
  <c r="N19" i="6"/>
  <c r="K19" i="6"/>
  <c r="H19" i="6"/>
  <c r="E19" i="6"/>
  <c r="T18" i="6"/>
  <c r="Q18" i="6"/>
  <c r="N18" i="6"/>
  <c r="K18" i="6"/>
  <c r="H18" i="6"/>
  <c r="E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E9" i="6"/>
  <c r="T8" i="6"/>
  <c r="Q8" i="6"/>
  <c r="N8" i="6"/>
  <c r="K8" i="6"/>
  <c r="H8" i="6"/>
  <c r="E8" i="6"/>
  <c r="T7" i="6"/>
  <c r="Q7" i="6"/>
  <c r="N7" i="6"/>
  <c r="K7" i="6"/>
  <c r="H7" i="6"/>
  <c r="E7" i="6"/>
  <c r="T6" i="6"/>
  <c r="Q6" i="6"/>
  <c r="N6" i="6"/>
  <c r="K6" i="6"/>
  <c r="H6" i="6"/>
  <c r="E6" i="6"/>
  <c r="T5" i="6"/>
  <c r="Q5" i="6"/>
  <c r="N5" i="6"/>
  <c r="K5" i="6"/>
  <c r="H5" i="6"/>
  <c r="E5" i="6"/>
  <c r="T52" i="5"/>
  <c r="Q52" i="5"/>
  <c r="N52" i="5"/>
  <c r="K52" i="5"/>
  <c r="H52" i="5"/>
  <c r="E52" i="5"/>
  <c r="T51" i="5"/>
  <c r="Q51" i="5"/>
  <c r="N51" i="5"/>
  <c r="K51" i="5"/>
  <c r="H51" i="5"/>
  <c r="E51" i="5"/>
  <c r="T50" i="5"/>
  <c r="Q50" i="5"/>
  <c r="N50" i="5"/>
  <c r="K50" i="5"/>
  <c r="H50" i="5"/>
  <c r="E50" i="5"/>
  <c r="T49" i="5"/>
  <c r="Q49" i="5"/>
  <c r="N49" i="5"/>
  <c r="K49" i="5"/>
  <c r="H49" i="5"/>
  <c r="E49" i="5"/>
  <c r="T48" i="5"/>
  <c r="Q48" i="5"/>
  <c r="N48" i="5"/>
  <c r="K48" i="5"/>
  <c r="H48" i="5"/>
  <c r="E48" i="5"/>
  <c r="T47" i="5"/>
  <c r="Q47" i="5"/>
  <c r="N47" i="5"/>
  <c r="K47" i="5"/>
  <c r="H47" i="5"/>
  <c r="E47" i="5"/>
  <c r="T46" i="5"/>
  <c r="Q46" i="5"/>
  <c r="N46" i="5"/>
  <c r="K46" i="5"/>
  <c r="H46" i="5"/>
  <c r="E46" i="5"/>
  <c r="T45" i="5"/>
  <c r="Q45" i="5"/>
  <c r="N45" i="5"/>
  <c r="K45" i="5"/>
  <c r="H45" i="5"/>
  <c r="E45" i="5"/>
  <c r="T44" i="5"/>
  <c r="Q44" i="5"/>
  <c r="N44" i="5"/>
  <c r="K44" i="5"/>
  <c r="H44" i="5"/>
  <c r="E44" i="5"/>
  <c r="T43" i="5"/>
  <c r="Q43" i="5"/>
  <c r="N43" i="5"/>
  <c r="K43" i="5"/>
  <c r="H43" i="5"/>
  <c r="E43" i="5"/>
  <c r="T42" i="5"/>
  <c r="Q42" i="5"/>
  <c r="N42" i="5"/>
  <c r="K42" i="5"/>
  <c r="H42" i="5"/>
  <c r="E42" i="5"/>
  <c r="T41" i="5"/>
  <c r="Q41" i="5"/>
  <c r="N41" i="5"/>
  <c r="K41" i="5"/>
  <c r="H41" i="5"/>
  <c r="E41" i="5"/>
  <c r="T40" i="5"/>
  <c r="Q40" i="5"/>
  <c r="N40" i="5"/>
  <c r="K40" i="5"/>
  <c r="H40" i="5"/>
  <c r="E40" i="5"/>
  <c r="T39" i="5"/>
  <c r="Q39" i="5"/>
  <c r="N39" i="5"/>
  <c r="K39" i="5"/>
  <c r="H39" i="5"/>
  <c r="E39" i="5"/>
  <c r="T38" i="5"/>
  <c r="Q38" i="5"/>
  <c r="N38" i="5"/>
  <c r="K38" i="5"/>
  <c r="H38" i="5"/>
  <c r="E38" i="5"/>
  <c r="T37" i="5"/>
  <c r="Q37" i="5"/>
  <c r="N37" i="5"/>
  <c r="K37" i="5"/>
  <c r="H37" i="5"/>
  <c r="E37" i="5"/>
  <c r="T36" i="5"/>
  <c r="Q36" i="5"/>
  <c r="N36" i="5"/>
  <c r="K36" i="5"/>
  <c r="H36" i="5"/>
  <c r="E36" i="5"/>
  <c r="T35" i="5"/>
  <c r="Q35" i="5"/>
  <c r="N35" i="5"/>
  <c r="K35" i="5"/>
  <c r="H35" i="5"/>
  <c r="E35" i="5"/>
  <c r="T34" i="5"/>
  <c r="Q34" i="5"/>
  <c r="N34" i="5"/>
  <c r="K34" i="5"/>
  <c r="H34" i="5"/>
  <c r="E34" i="5"/>
  <c r="T33" i="5"/>
  <c r="Q33" i="5"/>
  <c r="N33" i="5"/>
  <c r="K33" i="5"/>
  <c r="H33" i="5"/>
  <c r="E33" i="5"/>
  <c r="T32" i="5"/>
  <c r="Q32" i="5"/>
  <c r="N32" i="5"/>
  <c r="K32" i="5"/>
  <c r="H32" i="5"/>
  <c r="E32" i="5"/>
  <c r="T31" i="5"/>
  <c r="Q31" i="5"/>
  <c r="N31" i="5"/>
  <c r="K31" i="5"/>
  <c r="H31" i="5"/>
  <c r="E31" i="5"/>
  <c r="T30" i="5"/>
  <c r="Q30" i="5"/>
  <c r="N30" i="5"/>
  <c r="K30" i="5"/>
  <c r="H30" i="5"/>
  <c r="E30" i="5"/>
  <c r="T29" i="5"/>
  <c r="Q29" i="5"/>
  <c r="N29" i="5"/>
  <c r="K29" i="5"/>
  <c r="H29" i="5"/>
  <c r="E29" i="5"/>
  <c r="T28" i="5"/>
  <c r="Q28" i="5"/>
  <c r="N28" i="5"/>
  <c r="K28" i="5"/>
  <c r="H28" i="5"/>
  <c r="E28" i="5"/>
  <c r="T27" i="5"/>
  <c r="Q27" i="5"/>
  <c r="N27" i="5"/>
  <c r="K27" i="5"/>
  <c r="H27" i="5"/>
  <c r="E27" i="5"/>
  <c r="T26" i="5"/>
  <c r="Q26" i="5"/>
  <c r="N26" i="5"/>
  <c r="K26" i="5"/>
  <c r="H26" i="5"/>
  <c r="E26" i="5"/>
  <c r="T25" i="5"/>
  <c r="Q25" i="5"/>
  <c r="N25" i="5"/>
  <c r="K25" i="5"/>
  <c r="H25" i="5"/>
  <c r="E25" i="5"/>
  <c r="T24" i="5"/>
  <c r="Q24" i="5"/>
  <c r="N24" i="5"/>
  <c r="K24" i="5"/>
  <c r="H24" i="5"/>
  <c r="E24" i="5"/>
  <c r="T23" i="5"/>
  <c r="Q23" i="5"/>
  <c r="N23" i="5"/>
  <c r="K23" i="5"/>
  <c r="H23" i="5"/>
  <c r="E23" i="5"/>
  <c r="T22" i="5"/>
  <c r="Q22" i="5"/>
  <c r="N22" i="5"/>
  <c r="K22" i="5"/>
  <c r="H22" i="5"/>
  <c r="E22" i="5"/>
  <c r="T21" i="5"/>
  <c r="Q21" i="5"/>
  <c r="N21" i="5"/>
  <c r="K21" i="5"/>
  <c r="H21" i="5"/>
  <c r="E21" i="5"/>
  <c r="T20" i="5"/>
  <c r="Q20" i="5"/>
  <c r="N20" i="5"/>
  <c r="K20" i="5"/>
  <c r="H20" i="5"/>
  <c r="E20" i="5"/>
  <c r="T19" i="5"/>
  <c r="Q19" i="5"/>
  <c r="N19" i="5"/>
  <c r="K19" i="5"/>
  <c r="H19" i="5"/>
  <c r="E19" i="5"/>
  <c r="T18" i="5"/>
  <c r="Q18" i="5"/>
  <c r="N18" i="5"/>
  <c r="K18" i="5"/>
  <c r="H18" i="5"/>
  <c r="E18" i="5"/>
  <c r="T17" i="5"/>
  <c r="Q17" i="5"/>
  <c r="N17" i="5"/>
  <c r="K17" i="5"/>
  <c r="H17" i="5"/>
  <c r="E17" i="5"/>
  <c r="T16" i="5"/>
  <c r="Q16" i="5"/>
  <c r="N16" i="5"/>
  <c r="K16" i="5"/>
  <c r="H16" i="5"/>
  <c r="E16" i="5"/>
  <c r="T15" i="5"/>
  <c r="Q15" i="5"/>
  <c r="N15" i="5"/>
  <c r="K15" i="5"/>
  <c r="H15" i="5"/>
  <c r="E15" i="5"/>
  <c r="T14" i="5"/>
  <c r="Q14" i="5"/>
  <c r="N14" i="5"/>
  <c r="K14" i="5"/>
  <c r="H14" i="5"/>
  <c r="E14" i="5"/>
  <c r="T13" i="5"/>
  <c r="Q13" i="5"/>
  <c r="N13" i="5"/>
  <c r="K13" i="5"/>
  <c r="H13" i="5"/>
  <c r="E13" i="5"/>
  <c r="T12" i="5"/>
  <c r="Q12" i="5"/>
  <c r="N12" i="5"/>
  <c r="K12" i="5"/>
  <c r="H12" i="5"/>
  <c r="E12" i="5"/>
  <c r="T11" i="5"/>
  <c r="Q11" i="5"/>
  <c r="N11" i="5"/>
  <c r="K11" i="5"/>
  <c r="H11" i="5"/>
  <c r="E11" i="5"/>
  <c r="T10" i="5"/>
  <c r="Q10" i="5"/>
  <c r="N10" i="5"/>
  <c r="K10" i="5"/>
  <c r="H10" i="5"/>
  <c r="E10" i="5"/>
  <c r="T9" i="5"/>
  <c r="Q9" i="5"/>
  <c r="N9" i="5"/>
  <c r="K9" i="5"/>
  <c r="H9" i="5"/>
  <c r="E9" i="5"/>
  <c r="T8" i="5"/>
  <c r="Q8" i="5"/>
  <c r="N8" i="5"/>
  <c r="K8" i="5"/>
  <c r="H8" i="5"/>
  <c r="E8" i="5"/>
  <c r="T7" i="5"/>
  <c r="Q7" i="5"/>
  <c r="N7" i="5"/>
  <c r="K7" i="5"/>
  <c r="H7" i="5"/>
  <c r="E7" i="5"/>
  <c r="T6" i="5"/>
  <c r="Q6" i="5"/>
  <c r="N6" i="5"/>
  <c r="K6" i="5"/>
  <c r="H6" i="5"/>
  <c r="E6" i="5"/>
  <c r="T5" i="5"/>
  <c r="Q5" i="5"/>
  <c r="N5" i="5"/>
  <c r="K5" i="5"/>
  <c r="H5" i="5"/>
  <c r="E5" i="5"/>
  <c r="T52" i="4"/>
  <c r="Q52" i="4"/>
  <c r="N52" i="4"/>
  <c r="K52" i="4"/>
  <c r="H52" i="4"/>
  <c r="E52" i="4"/>
  <c r="T51" i="4"/>
  <c r="Q51" i="4"/>
  <c r="N51" i="4"/>
  <c r="K51" i="4"/>
  <c r="H51" i="4"/>
  <c r="E51" i="4"/>
  <c r="T50" i="4"/>
  <c r="Q50" i="4"/>
  <c r="N50" i="4"/>
  <c r="K50" i="4"/>
  <c r="H50" i="4"/>
  <c r="E50" i="4"/>
  <c r="T49" i="4"/>
  <c r="Q49" i="4"/>
  <c r="N49" i="4"/>
  <c r="K49" i="4"/>
  <c r="H49" i="4"/>
  <c r="E49" i="4"/>
  <c r="T48" i="4"/>
  <c r="Q48" i="4"/>
  <c r="N48" i="4"/>
  <c r="K48" i="4"/>
  <c r="H48" i="4"/>
  <c r="E48" i="4"/>
  <c r="T47" i="4"/>
  <c r="Q47" i="4"/>
  <c r="N47" i="4"/>
  <c r="K47" i="4"/>
  <c r="H47" i="4"/>
  <c r="E47" i="4"/>
  <c r="T46" i="4"/>
  <c r="Q46" i="4"/>
  <c r="N46" i="4"/>
  <c r="K46" i="4"/>
  <c r="H46" i="4"/>
  <c r="E46" i="4"/>
  <c r="T45" i="4"/>
  <c r="Q45" i="4"/>
  <c r="N45" i="4"/>
  <c r="K45" i="4"/>
  <c r="H45" i="4"/>
  <c r="E45" i="4"/>
  <c r="T44" i="4"/>
  <c r="Q44" i="4"/>
  <c r="N44" i="4"/>
  <c r="K44" i="4"/>
  <c r="H44" i="4"/>
  <c r="E44" i="4"/>
  <c r="T43" i="4"/>
  <c r="Q43" i="4"/>
  <c r="N43" i="4"/>
  <c r="K43" i="4"/>
  <c r="H43" i="4"/>
  <c r="E43" i="4"/>
  <c r="T42" i="4"/>
  <c r="Q42" i="4"/>
  <c r="N42" i="4"/>
  <c r="K42" i="4"/>
  <c r="H42" i="4"/>
  <c r="E42" i="4"/>
  <c r="T41" i="4"/>
  <c r="Q41" i="4"/>
  <c r="N41" i="4"/>
  <c r="K41" i="4"/>
  <c r="H41" i="4"/>
  <c r="E41" i="4"/>
  <c r="T40" i="4"/>
  <c r="Q40" i="4"/>
  <c r="N40" i="4"/>
  <c r="K40" i="4"/>
  <c r="H40" i="4"/>
  <c r="E40" i="4"/>
  <c r="T39" i="4"/>
  <c r="Q39" i="4"/>
  <c r="N39" i="4"/>
  <c r="K39" i="4"/>
  <c r="H39" i="4"/>
  <c r="E39" i="4"/>
  <c r="T38" i="4"/>
  <c r="Q38" i="4"/>
  <c r="N38" i="4"/>
  <c r="K38" i="4"/>
  <c r="H38" i="4"/>
  <c r="E38" i="4"/>
  <c r="T37" i="4"/>
  <c r="Q37" i="4"/>
  <c r="N37" i="4"/>
  <c r="K37" i="4"/>
  <c r="H37" i="4"/>
  <c r="E37" i="4"/>
  <c r="T36" i="4"/>
  <c r="Q36" i="4"/>
  <c r="N36" i="4"/>
  <c r="K36" i="4"/>
  <c r="H36" i="4"/>
  <c r="E36" i="4"/>
  <c r="T35" i="4"/>
  <c r="Q35" i="4"/>
  <c r="N35" i="4"/>
  <c r="K35" i="4"/>
  <c r="H35" i="4"/>
  <c r="E35" i="4"/>
  <c r="T34" i="4"/>
  <c r="Q34" i="4"/>
  <c r="N34" i="4"/>
  <c r="K34" i="4"/>
  <c r="H34" i="4"/>
  <c r="E34" i="4"/>
  <c r="T33" i="4"/>
  <c r="Q33" i="4"/>
  <c r="N33" i="4"/>
  <c r="K33" i="4"/>
  <c r="H33" i="4"/>
  <c r="E33" i="4"/>
  <c r="T32" i="4"/>
  <c r="Q32" i="4"/>
  <c r="N32" i="4"/>
  <c r="K32" i="4"/>
  <c r="H32" i="4"/>
  <c r="E32" i="4"/>
  <c r="T31" i="4"/>
  <c r="Q31" i="4"/>
  <c r="N31" i="4"/>
  <c r="K31" i="4"/>
  <c r="H31" i="4"/>
  <c r="E31" i="4"/>
  <c r="T30" i="4"/>
  <c r="Q30" i="4"/>
  <c r="N30" i="4"/>
  <c r="K30" i="4"/>
  <c r="H30" i="4"/>
  <c r="E30" i="4"/>
  <c r="T29" i="4"/>
  <c r="Q29" i="4"/>
  <c r="N29" i="4"/>
  <c r="K29" i="4"/>
  <c r="H29" i="4"/>
  <c r="E29" i="4"/>
  <c r="T28" i="4"/>
  <c r="Q28" i="4"/>
  <c r="N28" i="4"/>
  <c r="K28" i="4"/>
  <c r="H28" i="4"/>
  <c r="E28" i="4"/>
  <c r="T27" i="4"/>
  <c r="Q27" i="4"/>
  <c r="N27" i="4"/>
  <c r="K27" i="4"/>
  <c r="H27" i="4"/>
  <c r="E27" i="4"/>
  <c r="T26" i="4"/>
  <c r="Q26" i="4"/>
  <c r="N26" i="4"/>
  <c r="K26" i="4"/>
  <c r="H26" i="4"/>
  <c r="E26" i="4"/>
  <c r="T25" i="4"/>
  <c r="Q25" i="4"/>
  <c r="N25" i="4"/>
  <c r="K25" i="4"/>
  <c r="H25" i="4"/>
  <c r="E25" i="4"/>
  <c r="T24" i="4"/>
  <c r="Q24" i="4"/>
  <c r="N24" i="4"/>
  <c r="K24" i="4"/>
  <c r="H24" i="4"/>
  <c r="E24" i="4"/>
  <c r="T23" i="4"/>
  <c r="Q23" i="4"/>
  <c r="N23" i="4"/>
  <c r="K23" i="4"/>
  <c r="H23" i="4"/>
  <c r="E23" i="4"/>
  <c r="T22" i="4"/>
  <c r="Q22" i="4"/>
  <c r="N22" i="4"/>
  <c r="K22" i="4"/>
  <c r="H22" i="4"/>
  <c r="E22" i="4"/>
  <c r="T21" i="4"/>
  <c r="Q21" i="4"/>
  <c r="N21" i="4"/>
  <c r="K21" i="4"/>
  <c r="H21" i="4"/>
  <c r="E21" i="4"/>
  <c r="T20" i="4"/>
  <c r="Q20" i="4"/>
  <c r="N20" i="4"/>
  <c r="K20" i="4"/>
  <c r="H20" i="4"/>
  <c r="E20" i="4"/>
  <c r="T19" i="4"/>
  <c r="Q19" i="4"/>
  <c r="N19" i="4"/>
  <c r="K19" i="4"/>
  <c r="H19" i="4"/>
  <c r="E19" i="4"/>
  <c r="T18" i="4"/>
  <c r="Q18" i="4"/>
  <c r="N18" i="4"/>
  <c r="K18" i="4"/>
  <c r="H18" i="4"/>
  <c r="E18" i="4"/>
  <c r="T17" i="4"/>
  <c r="Q17" i="4"/>
  <c r="N17" i="4"/>
  <c r="K17" i="4"/>
  <c r="H17" i="4"/>
  <c r="E17" i="4"/>
  <c r="T16" i="4"/>
  <c r="Q16" i="4"/>
  <c r="N16" i="4"/>
  <c r="K16" i="4"/>
  <c r="H16" i="4"/>
  <c r="E16" i="4"/>
  <c r="T15" i="4"/>
  <c r="Q15" i="4"/>
  <c r="N15" i="4"/>
  <c r="K15" i="4"/>
  <c r="H15" i="4"/>
  <c r="E15" i="4"/>
  <c r="T14" i="4"/>
  <c r="Q14" i="4"/>
  <c r="N14" i="4"/>
  <c r="K14" i="4"/>
  <c r="H14" i="4"/>
  <c r="E14" i="4"/>
  <c r="T13" i="4"/>
  <c r="Q13" i="4"/>
  <c r="N13" i="4"/>
  <c r="K13" i="4"/>
  <c r="H13" i="4"/>
  <c r="E13" i="4"/>
  <c r="T12" i="4"/>
  <c r="Q12" i="4"/>
  <c r="N12" i="4"/>
  <c r="K12" i="4"/>
  <c r="H12" i="4"/>
  <c r="E12" i="4"/>
  <c r="T11" i="4"/>
  <c r="Q11" i="4"/>
  <c r="N11" i="4"/>
  <c r="K11" i="4"/>
  <c r="H11" i="4"/>
  <c r="E11" i="4"/>
  <c r="T10" i="4"/>
  <c r="Q10" i="4"/>
  <c r="N10" i="4"/>
  <c r="K10" i="4"/>
  <c r="H10" i="4"/>
  <c r="E10" i="4"/>
  <c r="T9" i="4"/>
  <c r="Q9" i="4"/>
  <c r="N9" i="4"/>
  <c r="K9" i="4"/>
  <c r="H9" i="4"/>
  <c r="E9" i="4"/>
  <c r="T8" i="4"/>
  <c r="Q8" i="4"/>
  <c r="N8" i="4"/>
  <c r="K8" i="4"/>
  <c r="H8" i="4"/>
  <c r="E8" i="4"/>
  <c r="T7" i="4"/>
  <c r="Q7" i="4"/>
  <c r="N7" i="4"/>
  <c r="K7" i="4"/>
  <c r="H7" i="4"/>
  <c r="E7" i="4"/>
  <c r="T6" i="4"/>
  <c r="Q6" i="4"/>
  <c r="N6" i="4"/>
  <c r="K6" i="4"/>
  <c r="H6" i="4"/>
  <c r="E6" i="4"/>
  <c r="T5" i="4"/>
  <c r="Q5" i="4"/>
  <c r="N5" i="4"/>
  <c r="K5" i="4"/>
  <c r="H5" i="4"/>
  <c r="E5" i="4"/>
  <c r="T52" i="3"/>
  <c r="Q52" i="3"/>
  <c r="N52" i="3"/>
  <c r="K52" i="3"/>
  <c r="H52" i="3"/>
  <c r="E52" i="3"/>
  <c r="T51" i="3"/>
  <c r="Q51" i="3"/>
  <c r="N51" i="3"/>
  <c r="K51" i="3"/>
  <c r="H51" i="3"/>
  <c r="E51" i="3"/>
  <c r="T50" i="3"/>
  <c r="Q50" i="3"/>
  <c r="N50" i="3"/>
  <c r="K50" i="3"/>
  <c r="H50" i="3"/>
  <c r="E50" i="3"/>
  <c r="T49" i="3"/>
  <c r="Q49" i="3"/>
  <c r="N49" i="3"/>
  <c r="K49" i="3"/>
  <c r="H49" i="3"/>
  <c r="E49" i="3"/>
  <c r="T48" i="3"/>
  <c r="Q48" i="3"/>
  <c r="N48" i="3"/>
  <c r="K48" i="3"/>
  <c r="H48" i="3"/>
  <c r="E48" i="3"/>
  <c r="T47" i="3"/>
  <c r="Q47" i="3"/>
  <c r="N47" i="3"/>
  <c r="K47" i="3"/>
  <c r="H47" i="3"/>
  <c r="E47" i="3"/>
  <c r="T46" i="3"/>
  <c r="Q46" i="3"/>
  <c r="N46" i="3"/>
  <c r="K46" i="3"/>
  <c r="H46" i="3"/>
  <c r="E46" i="3"/>
  <c r="T45" i="3"/>
  <c r="Q45" i="3"/>
  <c r="N45" i="3"/>
  <c r="K45" i="3"/>
  <c r="H45" i="3"/>
  <c r="E45" i="3"/>
  <c r="T44" i="3"/>
  <c r="Q44" i="3"/>
  <c r="N44" i="3"/>
  <c r="K44" i="3"/>
  <c r="H44" i="3"/>
  <c r="E44" i="3"/>
  <c r="T43" i="3"/>
  <c r="Q43" i="3"/>
  <c r="N43" i="3"/>
  <c r="K43" i="3"/>
  <c r="H43" i="3"/>
  <c r="E43" i="3"/>
  <c r="T42" i="3"/>
  <c r="Q42" i="3"/>
  <c r="N42" i="3"/>
  <c r="K42" i="3"/>
  <c r="H42" i="3"/>
  <c r="E42" i="3"/>
  <c r="T41" i="3"/>
  <c r="Q41" i="3"/>
  <c r="N41" i="3"/>
  <c r="K41" i="3"/>
  <c r="H41" i="3"/>
  <c r="E41" i="3"/>
  <c r="T40" i="3"/>
  <c r="Q40" i="3"/>
  <c r="N40" i="3"/>
  <c r="K40" i="3"/>
  <c r="H40" i="3"/>
  <c r="E40" i="3"/>
  <c r="T39" i="3"/>
  <c r="Q39" i="3"/>
  <c r="N39" i="3"/>
  <c r="K39" i="3"/>
  <c r="H39" i="3"/>
  <c r="E39" i="3"/>
  <c r="T38" i="3"/>
  <c r="Q38" i="3"/>
  <c r="N38" i="3"/>
  <c r="K38" i="3"/>
  <c r="H38" i="3"/>
  <c r="E38" i="3"/>
  <c r="T37" i="3"/>
  <c r="Q37" i="3"/>
  <c r="N37" i="3"/>
  <c r="K37" i="3"/>
  <c r="H37" i="3"/>
  <c r="E37" i="3"/>
  <c r="T36" i="3"/>
  <c r="Q36" i="3"/>
  <c r="N36" i="3"/>
  <c r="K36" i="3"/>
  <c r="H36" i="3"/>
  <c r="E36" i="3"/>
  <c r="T35" i="3"/>
  <c r="Q35" i="3"/>
  <c r="N35" i="3"/>
  <c r="K35" i="3"/>
  <c r="H35" i="3"/>
  <c r="E35" i="3"/>
  <c r="T34" i="3"/>
  <c r="Q34" i="3"/>
  <c r="N34" i="3"/>
  <c r="K34" i="3"/>
  <c r="H34" i="3"/>
  <c r="E34" i="3"/>
  <c r="T33" i="3"/>
  <c r="Q33" i="3"/>
  <c r="N33" i="3"/>
  <c r="K33" i="3"/>
  <c r="H33" i="3"/>
  <c r="E33" i="3"/>
  <c r="T32" i="3"/>
  <c r="Q32" i="3"/>
  <c r="N32" i="3"/>
  <c r="K32" i="3"/>
  <c r="H32" i="3"/>
  <c r="E32" i="3"/>
  <c r="T31" i="3"/>
  <c r="Q31" i="3"/>
  <c r="N31" i="3"/>
  <c r="K31" i="3"/>
  <c r="H31" i="3"/>
  <c r="E31" i="3"/>
  <c r="T30" i="3"/>
  <c r="Q30" i="3"/>
  <c r="N30" i="3"/>
  <c r="K30" i="3"/>
  <c r="H30" i="3"/>
  <c r="E30" i="3"/>
  <c r="T29" i="3"/>
  <c r="Q29" i="3"/>
  <c r="N29" i="3"/>
  <c r="K29" i="3"/>
  <c r="H29" i="3"/>
  <c r="E29" i="3"/>
  <c r="T28" i="3"/>
  <c r="Q28" i="3"/>
  <c r="N28" i="3"/>
  <c r="K28" i="3"/>
  <c r="H28" i="3"/>
  <c r="E28" i="3"/>
  <c r="T27" i="3"/>
  <c r="Q27" i="3"/>
  <c r="N27" i="3"/>
  <c r="K27" i="3"/>
  <c r="H27" i="3"/>
  <c r="E27" i="3"/>
  <c r="T26" i="3"/>
  <c r="Q26" i="3"/>
  <c r="N26" i="3"/>
  <c r="K26" i="3"/>
  <c r="H26" i="3"/>
  <c r="E26" i="3"/>
  <c r="T25" i="3"/>
  <c r="Q25" i="3"/>
  <c r="N25" i="3"/>
  <c r="K25" i="3"/>
  <c r="H25" i="3"/>
  <c r="E25" i="3"/>
  <c r="T24" i="3"/>
  <c r="Q24" i="3"/>
  <c r="N24" i="3"/>
  <c r="K24" i="3"/>
  <c r="H24" i="3"/>
  <c r="E24" i="3"/>
  <c r="T23" i="3"/>
  <c r="Q23" i="3"/>
  <c r="N23" i="3"/>
  <c r="K23" i="3"/>
  <c r="H23" i="3"/>
  <c r="E23" i="3"/>
  <c r="T22" i="3"/>
  <c r="Q22" i="3"/>
  <c r="N22" i="3"/>
  <c r="K22" i="3"/>
  <c r="H22" i="3"/>
  <c r="E22" i="3"/>
  <c r="T21" i="3"/>
  <c r="Q21" i="3"/>
  <c r="N21" i="3"/>
  <c r="K21" i="3"/>
  <c r="H21" i="3"/>
  <c r="E21" i="3"/>
  <c r="T20" i="3"/>
  <c r="Q20" i="3"/>
  <c r="N20" i="3"/>
  <c r="K20" i="3"/>
  <c r="H20" i="3"/>
  <c r="E20" i="3"/>
  <c r="T19" i="3"/>
  <c r="Q19" i="3"/>
  <c r="N19" i="3"/>
  <c r="K19" i="3"/>
  <c r="H19" i="3"/>
  <c r="E19" i="3"/>
  <c r="T18" i="3"/>
  <c r="Q18" i="3"/>
  <c r="N18" i="3"/>
  <c r="K18" i="3"/>
  <c r="H18" i="3"/>
  <c r="E18" i="3"/>
  <c r="T17" i="3"/>
  <c r="Q17" i="3"/>
  <c r="N17" i="3"/>
  <c r="K17" i="3"/>
  <c r="H17" i="3"/>
  <c r="E17" i="3"/>
  <c r="T16" i="3"/>
  <c r="Q16" i="3"/>
  <c r="N16" i="3"/>
  <c r="K16" i="3"/>
  <c r="H16" i="3"/>
  <c r="E16" i="3"/>
  <c r="T15" i="3"/>
  <c r="Q15" i="3"/>
  <c r="N15" i="3"/>
  <c r="K15" i="3"/>
  <c r="H15" i="3"/>
  <c r="E15" i="3"/>
  <c r="T14" i="3"/>
  <c r="Q14" i="3"/>
  <c r="N14" i="3"/>
  <c r="K14" i="3"/>
  <c r="H14" i="3"/>
  <c r="E14" i="3"/>
  <c r="T13" i="3"/>
  <c r="Q13" i="3"/>
  <c r="N13" i="3"/>
  <c r="K13" i="3"/>
  <c r="H13" i="3"/>
  <c r="E13" i="3"/>
  <c r="T12" i="3"/>
  <c r="Q12" i="3"/>
  <c r="N12" i="3"/>
  <c r="K12" i="3"/>
  <c r="H12" i="3"/>
  <c r="E12" i="3"/>
  <c r="T11" i="3"/>
  <c r="Q11" i="3"/>
  <c r="N11" i="3"/>
  <c r="K11" i="3"/>
  <c r="H11" i="3"/>
  <c r="E11" i="3"/>
  <c r="T10" i="3"/>
  <c r="Q10" i="3"/>
  <c r="N10" i="3"/>
  <c r="K10" i="3"/>
  <c r="H10" i="3"/>
  <c r="E10" i="3"/>
  <c r="T9" i="3"/>
  <c r="Q9" i="3"/>
  <c r="N9" i="3"/>
  <c r="K9" i="3"/>
  <c r="H9" i="3"/>
  <c r="E9" i="3"/>
  <c r="T8" i="3"/>
  <c r="Q8" i="3"/>
  <c r="N8" i="3"/>
  <c r="K8" i="3"/>
  <c r="H8" i="3"/>
  <c r="E8" i="3"/>
  <c r="T7" i="3"/>
  <c r="Q7" i="3"/>
  <c r="N7" i="3"/>
  <c r="K7" i="3"/>
  <c r="H7" i="3"/>
  <c r="E7" i="3"/>
  <c r="T6" i="3"/>
  <c r="Q6" i="3"/>
  <c r="N6" i="3"/>
  <c r="K6" i="3"/>
  <c r="H6" i="3"/>
  <c r="E6" i="3"/>
  <c r="T5" i="3"/>
  <c r="Q5" i="3"/>
  <c r="N5" i="3"/>
  <c r="K5" i="3"/>
  <c r="H5" i="3"/>
  <c r="E5" i="3"/>
  <c r="T52" i="2"/>
  <c r="Q52" i="2"/>
  <c r="N52" i="2"/>
  <c r="K52" i="2"/>
  <c r="H52" i="2"/>
  <c r="E52" i="2"/>
  <c r="T51" i="2"/>
  <c r="Q51" i="2"/>
  <c r="N51" i="2"/>
  <c r="K51" i="2"/>
  <c r="H51" i="2"/>
  <c r="E51" i="2"/>
  <c r="T50" i="2"/>
  <c r="Q50" i="2"/>
  <c r="N50" i="2"/>
  <c r="K50" i="2"/>
  <c r="H50" i="2"/>
  <c r="E50" i="2"/>
  <c r="T49" i="2"/>
  <c r="Q49" i="2"/>
  <c r="N49" i="2"/>
  <c r="K49" i="2"/>
  <c r="H49" i="2"/>
  <c r="E49" i="2"/>
  <c r="T48" i="2"/>
  <c r="Q48" i="2"/>
  <c r="N48" i="2"/>
  <c r="K48" i="2"/>
  <c r="H48" i="2"/>
  <c r="E48" i="2"/>
  <c r="T47" i="2"/>
  <c r="Q47" i="2"/>
  <c r="N47" i="2"/>
  <c r="K47" i="2"/>
  <c r="H47" i="2"/>
  <c r="E47" i="2"/>
  <c r="T46" i="2"/>
  <c r="Q46" i="2"/>
  <c r="N46" i="2"/>
  <c r="K46" i="2"/>
  <c r="H46" i="2"/>
  <c r="E46" i="2"/>
  <c r="T45" i="2"/>
  <c r="Q45" i="2"/>
  <c r="N45" i="2"/>
  <c r="K45" i="2"/>
  <c r="H45" i="2"/>
  <c r="E45" i="2"/>
  <c r="T44" i="2"/>
  <c r="Q44" i="2"/>
  <c r="N44" i="2"/>
  <c r="K44" i="2"/>
  <c r="H44" i="2"/>
  <c r="E44" i="2"/>
  <c r="T43" i="2"/>
  <c r="Q43" i="2"/>
  <c r="N43" i="2"/>
  <c r="K43" i="2"/>
  <c r="H43" i="2"/>
  <c r="E43" i="2"/>
  <c r="T42" i="2"/>
  <c r="Q42" i="2"/>
  <c r="N42" i="2"/>
  <c r="K42" i="2"/>
  <c r="H42" i="2"/>
  <c r="E42" i="2"/>
  <c r="T41" i="2"/>
  <c r="Q41" i="2"/>
  <c r="N41" i="2"/>
  <c r="K41" i="2"/>
  <c r="H41" i="2"/>
  <c r="E41" i="2"/>
  <c r="T40" i="2"/>
  <c r="Q40" i="2"/>
  <c r="N40" i="2"/>
  <c r="K40" i="2"/>
  <c r="H40" i="2"/>
  <c r="E40" i="2"/>
  <c r="T39" i="2"/>
  <c r="Q39" i="2"/>
  <c r="N39" i="2"/>
  <c r="K39" i="2"/>
  <c r="H39" i="2"/>
  <c r="E39" i="2"/>
  <c r="T38" i="2"/>
  <c r="Q38" i="2"/>
  <c r="N38" i="2"/>
  <c r="K38" i="2"/>
  <c r="H38" i="2"/>
  <c r="E38" i="2"/>
  <c r="T37" i="2"/>
  <c r="Q37" i="2"/>
  <c r="N37" i="2"/>
  <c r="K37" i="2"/>
  <c r="H37" i="2"/>
  <c r="E37" i="2"/>
  <c r="T36" i="2"/>
  <c r="Q36" i="2"/>
  <c r="N36" i="2"/>
  <c r="K36" i="2"/>
  <c r="H36" i="2"/>
  <c r="E36" i="2"/>
  <c r="T35" i="2"/>
  <c r="Q35" i="2"/>
  <c r="N35" i="2"/>
  <c r="K35" i="2"/>
  <c r="H35" i="2"/>
  <c r="E35" i="2"/>
  <c r="T34" i="2"/>
  <c r="Q34" i="2"/>
  <c r="N34" i="2"/>
  <c r="K34" i="2"/>
  <c r="H34" i="2"/>
  <c r="E34" i="2"/>
  <c r="T33" i="2"/>
  <c r="Q33" i="2"/>
  <c r="N33" i="2"/>
  <c r="K33" i="2"/>
  <c r="H33" i="2"/>
  <c r="E33" i="2"/>
  <c r="T32" i="2"/>
  <c r="Q32" i="2"/>
  <c r="N32" i="2"/>
  <c r="K32" i="2"/>
  <c r="H32" i="2"/>
  <c r="E32" i="2"/>
  <c r="T31" i="2"/>
  <c r="Q31" i="2"/>
  <c r="N31" i="2"/>
  <c r="K31" i="2"/>
  <c r="H31" i="2"/>
  <c r="E31" i="2"/>
  <c r="T30" i="2"/>
  <c r="Q30" i="2"/>
  <c r="N30" i="2"/>
  <c r="K30" i="2"/>
  <c r="H30" i="2"/>
  <c r="E30" i="2"/>
  <c r="T29" i="2"/>
  <c r="Q29" i="2"/>
  <c r="N29" i="2"/>
  <c r="K29" i="2"/>
  <c r="H29" i="2"/>
  <c r="E29" i="2"/>
  <c r="T28" i="2"/>
  <c r="Q28" i="2"/>
  <c r="N28" i="2"/>
  <c r="K28" i="2"/>
  <c r="H28" i="2"/>
  <c r="E28" i="2"/>
  <c r="T27" i="2"/>
  <c r="Q27" i="2"/>
  <c r="N27" i="2"/>
  <c r="K27" i="2"/>
  <c r="H27" i="2"/>
  <c r="E27" i="2"/>
  <c r="T26" i="2"/>
  <c r="Q26" i="2"/>
  <c r="N26" i="2"/>
  <c r="K26" i="2"/>
  <c r="H26" i="2"/>
  <c r="E26" i="2"/>
  <c r="T25" i="2"/>
  <c r="Q25" i="2"/>
  <c r="N25" i="2"/>
  <c r="K25" i="2"/>
  <c r="H25" i="2"/>
  <c r="E25" i="2"/>
  <c r="T24" i="2"/>
  <c r="Q24" i="2"/>
  <c r="N24" i="2"/>
  <c r="K24" i="2"/>
  <c r="H24" i="2"/>
  <c r="E24" i="2"/>
  <c r="T23" i="2"/>
  <c r="Q23" i="2"/>
  <c r="N23" i="2"/>
  <c r="K23" i="2"/>
  <c r="H23" i="2"/>
  <c r="E23" i="2"/>
  <c r="T22" i="2"/>
  <c r="Q22" i="2"/>
  <c r="N22" i="2"/>
  <c r="K22" i="2"/>
  <c r="H22" i="2"/>
  <c r="E22" i="2"/>
  <c r="T21" i="2"/>
  <c r="Q21" i="2"/>
  <c r="N21" i="2"/>
  <c r="K21" i="2"/>
  <c r="H21" i="2"/>
  <c r="E21" i="2"/>
  <c r="T20" i="2"/>
  <c r="Q20" i="2"/>
  <c r="N20" i="2"/>
  <c r="K20" i="2"/>
  <c r="H20" i="2"/>
  <c r="E20" i="2"/>
  <c r="T19" i="2"/>
  <c r="Q19" i="2"/>
  <c r="N19" i="2"/>
  <c r="K19" i="2"/>
  <c r="H19" i="2"/>
  <c r="E19" i="2"/>
  <c r="T18" i="2"/>
  <c r="Q18" i="2"/>
  <c r="N18" i="2"/>
  <c r="K18" i="2"/>
  <c r="H18" i="2"/>
  <c r="E18" i="2"/>
  <c r="T17" i="2"/>
  <c r="Q17" i="2"/>
  <c r="N17" i="2"/>
  <c r="K17" i="2"/>
  <c r="H17" i="2"/>
  <c r="E17" i="2"/>
  <c r="T16" i="2"/>
  <c r="Q16" i="2"/>
  <c r="N16" i="2"/>
  <c r="K16" i="2"/>
  <c r="H16" i="2"/>
  <c r="E16" i="2"/>
  <c r="T15" i="2"/>
  <c r="Q15" i="2"/>
  <c r="N15" i="2"/>
  <c r="K15" i="2"/>
  <c r="H15" i="2"/>
  <c r="E15" i="2"/>
  <c r="T14" i="2"/>
  <c r="Q14" i="2"/>
  <c r="N14" i="2"/>
  <c r="K14" i="2"/>
  <c r="H14" i="2"/>
  <c r="E14" i="2"/>
  <c r="T13" i="2"/>
  <c r="Q13" i="2"/>
  <c r="N13" i="2"/>
  <c r="K13" i="2"/>
  <c r="H13" i="2"/>
  <c r="E13" i="2"/>
  <c r="T12" i="2"/>
  <c r="Q12" i="2"/>
  <c r="N12" i="2"/>
  <c r="K12" i="2"/>
  <c r="H12" i="2"/>
  <c r="E12" i="2"/>
  <c r="T11" i="2"/>
  <c r="Q11" i="2"/>
  <c r="N11" i="2"/>
  <c r="K11" i="2"/>
  <c r="H11" i="2"/>
  <c r="E11" i="2"/>
  <c r="T10" i="2"/>
  <c r="Q10" i="2"/>
  <c r="N10" i="2"/>
  <c r="K10" i="2"/>
  <c r="H10" i="2"/>
  <c r="E10" i="2"/>
  <c r="T9" i="2"/>
  <c r="Q9" i="2"/>
  <c r="N9" i="2"/>
  <c r="K9" i="2"/>
  <c r="H9" i="2"/>
  <c r="E9" i="2"/>
  <c r="T8" i="2"/>
  <c r="Q8" i="2"/>
  <c r="N8" i="2"/>
  <c r="K8" i="2"/>
  <c r="H8" i="2"/>
  <c r="E8" i="2"/>
  <c r="T7" i="2"/>
  <c r="Q7" i="2"/>
  <c r="N7" i="2"/>
  <c r="K7" i="2"/>
  <c r="H7" i="2"/>
  <c r="E7" i="2"/>
  <c r="T6" i="2"/>
  <c r="Q6" i="2"/>
  <c r="N6" i="2"/>
  <c r="K6" i="2"/>
  <c r="H6" i="2"/>
  <c r="E6" i="2"/>
  <c r="T5" i="2"/>
  <c r="Q5" i="2"/>
  <c r="N5" i="2"/>
  <c r="K5" i="2"/>
  <c r="H5" i="2"/>
  <c r="E5" i="2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<sst xmlns="http://schemas.openxmlformats.org/spreadsheetml/2006/main" count="1872" uniqueCount="40">
  <si>
    <t>dmap p2pl (M0) vs icp p2pl (M0)</t>
  </si>
  <si>
    <t>10.0m</t>
  </si>
  <si>
    <t>20.0m</t>
  </si>
  <si>
    <t>30.0m</t>
  </si>
  <si>
    <t>RTE</t>
  </si>
  <si>
    <t>RRE</t>
  </si>
  <si>
    <t>Sign Diff</t>
  </si>
  <si>
    <t>Rel Diff ((A-B)/B)</t>
  </si>
  <si>
    <t>Outlier?</t>
  </si>
  <si>
    <t>nav_a_diff</t>
  </si>
  <si>
    <t>0.50m</t>
  </si>
  <si>
    <t>nav_a_omni</t>
  </si>
  <si>
    <t>loop</t>
  </si>
  <si>
    <t>slippage</t>
  </si>
  <si>
    <t>1.00m</t>
  </si>
  <si>
    <t>1.50m</t>
  </si>
  <si>
    <t>2.00m</t>
  </si>
  <si>
    <t>2.50m</t>
  </si>
  <si>
    <t>3.00m</t>
  </si>
  <si>
    <t>MEAN:</t>
  </si>
  <si>
    <t>MEDIAN:</t>
  </si>
  <si>
    <t>STD:</t>
  </si>
  <si>
    <t>COUNT:</t>
  </si>
  <si>
    <t>TRANS.</t>
  </si>
  <si>
    <t>INLIE.</t>
  </si>
  <si>
    <t>ALL</t>
  </si>
  <si>
    <t>signed</t>
  </si>
  <si>
    <t>unsigned / abs</t>
  </si>
  <si>
    <t>dmap p2pl vs p2p (M0)</t>
  </si>
  <si>
    <t>icp p2pl vs p2p (M0)</t>
  </si>
  <si>
    <t>dmap p2pl (M2) vs p2p (M0)</t>
  </si>
  <si>
    <t>dmap p2pl (M2) vs p2p (M1)</t>
  </si>
  <si>
    <t>dmap p2pl (M2) vs p2pl (M0)</t>
  </si>
  <si>
    <t>dmap p2pl (M2) vs icp p2p (M0)</t>
  </si>
  <si>
    <t>dmap p2pl (M2) vs icp p2pl (M0)</t>
  </si>
  <si>
    <t>dmap p2p (M1) vs p2p (M0)</t>
  </si>
  <si>
    <t>dmap p2p (M1) vs p2pl (M0)</t>
  </si>
  <si>
    <t>dmap p2p (M1) vs p2pl (M2)</t>
  </si>
  <si>
    <t>dmap p2p (M1) vs icp p2p (M0)</t>
  </si>
  <si>
    <t>dmap p2p (M1) vs icp p2pl (M0)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</si>
</sst>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9" fontId="1" fillId="0" borderId="2" xfId="0" applyNumberFormat="1" applyFont="1" applyBorder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/>
    <xf numFmtId="0" fontId="3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2" fillId="3" borderId="2" xfId="0" applyFont="1" applyFill="1" applyBorder="1"/>
    <xf numFmtId="0" fontId="0" fillId="0" borderId="0" xfId="0" applyBorder="1"/>
    <xf numFmtId="0" fontId="3" fillId="2" borderId="0" xfId="0" applyFont="1" applyFill="1" applyBorder="1"/>
    <xf numFmtId="0" fontId="3" fillId="0" borderId="0" xfId="0" applyFont="1" applyBorder="1"/>
    <xf numFmtId="0" fontId="0" fillId="2" borderId="0" xfId="0" applyFill="1" applyBorder="1"/>
    <xf numFmtId="0" fontId="1" fillId="0" borderId="1" xfId="0" applyFont="1" applyBorder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ADA1-7709-49B1-9AF9-C54798BB4FE5}">
  <dimension ref="A1:U109"/>
  <sheetViews>
    <sheetView workbookViewId="0">
      <selection activeCell="C85" sqref="C85"/>
    </sheetView>
  </sheetViews>
  <sheetFormatPr defaultRowHeight="15"/>
  <cols>
    <col min="1" max="1" width="11.5703125" style="3" bestFit="1" customWidth="1"/>
    <col min="2" max="2" width="9.140625" style="4"/>
    <col min="3" max="3" width="13" style="25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style="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style="2" bestFit="1" customWidth="1"/>
    <col min="15" max="15" width="12.5703125" style="25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5" bestFit="1" customWidth="1"/>
    <col min="21" max="21" width="9.140625" style="1"/>
  </cols>
  <sheetData>
    <row r="1" spans="1:21" s="3" customFormat="1">
      <c r="B1" s="4"/>
      <c r="C1" s="16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29"/>
    </row>
    <row r="2" spans="1:21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  <c r="U2" s="29"/>
    </row>
    <row r="3" spans="1:21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  <c r="U3" s="29"/>
    </row>
    <row r="4" spans="1:21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6" t="s">
        <v>8</v>
      </c>
      <c r="O4" s="5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5" t="s">
        <v>8</v>
      </c>
      <c r="U4" s="7"/>
    </row>
    <row r="5" spans="1:21">
      <c r="A5" s="11" t="s">
        <v>9</v>
      </c>
      <c r="B5" s="12" t="s">
        <v>10</v>
      </c>
      <c r="C5" s="25">
        <v>0</v>
      </c>
      <c r="D5">
        <v>0</v>
      </c>
      <c r="E5" t="str">
        <f>IF(ABS(D5)&gt;50,"?","-")</f>
        <v>-</v>
      </c>
      <c r="F5">
        <v>1E-3</v>
      </c>
      <c r="G5">
        <v>0.7</v>
      </c>
      <c r="H5" s="25" t="str">
        <f>IF(ABS(G5)&gt;50,"?","-")</f>
        <v>-</v>
      </c>
      <c r="I5" s="1">
        <v>0.02</v>
      </c>
      <c r="J5">
        <v>1.2</v>
      </c>
      <c r="K5" t="str">
        <f>IF(ABS(J5)&gt;50,"?","-")</f>
        <v>-</v>
      </c>
      <c r="L5">
        <v>5.0000000000000001E-3</v>
      </c>
      <c r="M5">
        <v>3.3</v>
      </c>
      <c r="N5" s="2" t="str">
        <f>IF(ABS(M5)&gt;50,"?","-")</f>
        <v>-</v>
      </c>
      <c r="O5" s="25">
        <v>-0.01</v>
      </c>
      <c r="P5">
        <v>-0.6</v>
      </c>
      <c r="Q5" t="str">
        <f>IF(ABS(P5)&gt;50,"?","-")</f>
        <v>-</v>
      </c>
      <c r="R5">
        <v>-1E-3</v>
      </c>
      <c r="S5">
        <v>-0.7</v>
      </c>
      <c r="T5" s="25" t="str">
        <f>IF(ABS(S5)&gt;50,"?","-")</f>
        <v>-</v>
      </c>
    </row>
    <row r="6" spans="1:21">
      <c r="A6" s="11" t="s">
        <v>11</v>
      </c>
      <c r="B6" s="12" t="s">
        <v>10</v>
      </c>
      <c r="C6" s="25">
        <v>0.02</v>
      </c>
      <c r="D6">
        <v>1.5</v>
      </c>
      <c r="E6" t="str">
        <f t="shared" ref="E6:E52" si="0">IF(ABS(D6)&gt;50,"?","-")</f>
        <v>-</v>
      </c>
      <c r="F6">
        <v>1E-3</v>
      </c>
      <c r="G6">
        <v>1</v>
      </c>
      <c r="H6" s="25" t="str">
        <f t="shared" ref="H6:H52" si="1">IF(ABS(G6)&gt;50,"?","-")</f>
        <v>-</v>
      </c>
      <c r="I6" s="1">
        <v>0.01</v>
      </c>
      <c r="J6">
        <v>0.7</v>
      </c>
      <c r="K6" t="str">
        <f t="shared" ref="K6:K52" si="2">IF(ABS(J6)&gt;50,"?","-")</f>
        <v>-</v>
      </c>
      <c r="L6">
        <v>2E-3</v>
      </c>
      <c r="M6">
        <v>2</v>
      </c>
      <c r="N6" s="2" t="str">
        <f t="shared" ref="N6:N52" si="3">IF(ABS(M6)&gt;50,"?","-")</f>
        <v>-</v>
      </c>
      <c r="O6" s="25">
        <v>-7.0000000000000007E-2</v>
      </c>
      <c r="P6">
        <v>-4.9000000000000004</v>
      </c>
      <c r="Q6" t="str">
        <f t="shared" ref="Q6:Q52" si="4">IF(ABS(P6)&gt;50,"?","-")</f>
        <v>-</v>
      </c>
      <c r="R6">
        <v>-8.0000000000000002E-3</v>
      </c>
      <c r="S6">
        <v>-7.2</v>
      </c>
      <c r="T6" s="25" t="str">
        <f t="shared" ref="T6:T52" si="5">IF(ABS(S6)&gt;50,"?","-")</f>
        <v>-</v>
      </c>
    </row>
    <row r="7" spans="1:21">
      <c r="A7" s="11" t="s">
        <v>12</v>
      </c>
      <c r="B7" s="12" t="s">
        <v>10</v>
      </c>
      <c r="C7" s="25">
        <v>-0.01</v>
      </c>
      <c r="D7">
        <v>-0.2</v>
      </c>
      <c r="E7" t="str">
        <f t="shared" si="0"/>
        <v>-</v>
      </c>
      <c r="F7">
        <v>1E-3</v>
      </c>
      <c r="G7">
        <v>0.3</v>
      </c>
      <c r="H7" s="25" t="str">
        <f t="shared" si="1"/>
        <v>-</v>
      </c>
      <c r="I7" s="1">
        <v>-0.01</v>
      </c>
      <c r="J7">
        <v>-0.2</v>
      </c>
      <c r="K7" t="str">
        <f t="shared" si="2"/>
        <v>-</v>
      </c>
      <c r="L7">
        <v>0</v>
      </c>
      <c r="M7">
        <v>0</v>
      </c>
      <c r="N7" s="2" t="str">
        <f t="shared" si="3"/>
        <v>-</v>
      </c>
      <c r="O7" s="25">
        <v>-0.01</v>
      </c>
      <c r="P7">
        <v>-0.2</v>
      </c>
      <c r="Q7" t="str">
        <f t="shared" si="4"/>
        <v>-</v>
      </c>
      <c r="R7">
        <v>0</v>
      </c>
      <c r="S7">
        <v>0</v>
      </c>
      <c r="T7" s="25" t="str">
        <f t="shared" si="5"/>
        <v>-</v>
      </c>
    </row>
    <row r="8" spans="1:21">
      <c r="A8" s="11" t="s">
        <v>13</v>
      </c>
      <c r="B8" s="12" t="s">
        <v>10</v>
      </c>
      <c r="C8" s="25">
        <v>-0.02</v>
      </c>
      <c r="D8">
        <v>-1.4</v>
      </c>
      <c r="E8" t="str">
        <f t="shared" si="0"/>
        <v>-</v>
      </c>
      <c r="F8">
        <v>-2E-3</v>
      </c>
      <c r="G8">
        <v>-1.5</v>
      </c>
      <c r="H8" s="25" t="str">
        <f t="shared" si="1"/>
        <v>-</v>
      </c>
      <c r="I8" s="1">
        <v>0</v>
      </c>
      <c r="J8">
        <v>0</v>
      </c>
      <c r="K8" t="str">
        <f t="shared" si="2"/>
        <v>-</v>
      </c>
      <c r="L8">
        <v>0</v>
      </c>
      <c r="M8">
        <v>0</v>
      </c>
      <c r="N8" s="2" t="str">
        <f t="shared" si="3"/>
        <v>-</v>
      </c>
      <c r="O8" s="25">
        <v>0</v>
      </c>
      <c r="P8">
        <v>0</v>
      </c>
      <c r="Q8" t="str">
        <f t="shared" si="4"/>
        <v>-</v>
      </c>
      <c r="R8">
        <v>0</v>
      </c>
      <c r="S8">
        <v>0</v>
      </c>
      <c r="T8" s="25" t="str">
        <f t="shared" si="5"/>
        <v>-</v>
      </c>
    </row>
    <row r="9" spans="1:21">
      <c r="A9" s="11" t="s">
        <v>9</v>
      </c>
      <c r="B9" s="12" t="s">
        <v>14</v>
      </c>
      <c r="C9" s="25">
        <v>0</v>
      </c>
      <c r="D9">
        <v>0</v>
      </c>
      <c r="E9" t="str">
        <f t="shared" si="0"/>
        <v>-</v>
      </c>
      <c r="F9">
        <v>0</v>
      </c>
      <c r="G9">
        <v>0</v>
      </c>
      <c r="H9" s="25" t="str">
        <f t="shared" si="1"/>
        <v>-</v>
      </c>
      <c r="I9" s="1">
        <v>-0.05</v>
      </c>
      <c r="J9">
        <v>-3.6</v>
      </c>
      <c r="K9" t="str">
        <f t="shared" si="2"/>
        <v>-</v>
      </c>
      <c r="L9">
        <v>-1E-3</v>
      </c>
      <c r="M9">
        <v>-0.9</v>
      </c>
      <c r="N9" s="2" t="str">
        <f t="shared" si="3"/>
        <v>-</v>
      </c>
      <c r="O9" s="25">
        <v>-0.01</v>
      </c>
      <c r="P9">
        <v>-0.7</v>
      </c>
      <c r="Q9" t="str">
        <f t="shared" si="4"/>
        <v>-</v>
      </c>
      <c r="R9">
        <v>1E-3</v>
      </c>
      <c r="S9">
        <v>0.9</v>
      </c>
      <c r="T9" s="25" t="str">
        <f t="shared" si="5"/>
        <v>-</v>
      </c>
    </row>
    <row r="10" spans="1:21">
      <c r="A10" s="11" t="s">
        <v>11</v>
      </c>
      <c r="B10" s="12" t="s">
        <v>14</v>
      </c>
      <c r="C10" s="25">
        <v>-0.02</v>
      </c>
      <c r="D10">
        <v>-1.6</v>
      </c>
      <c r="E10" t="str">
        <f t="shared" si="0"/>
        <v>-</v>
      </c>
      <c r="F10">
        <v>1E-3</v>
      </c>
      <c r="G10">
        <v>1</v>
      </c>
      <c r="H10" s="25" t="str">
        <f t="shared" si="1"/>
        <v>-</v>
      </c>
      <c r="I10" s="1">
        <v>0</v>
      </c>
      <c r="J10">
        <v>0</v>
      </c>
      <c r="K10" t="str">
        <f t="shared" si="2"/>
        <v>-</v>
      </c>
      <c r="L10">
        <v>-1E-3</v>
      </c>
      <c r="M10">
        <v>-0.9</v>
      </c>
      <c r="N10" s="2" t="str">
        <f t="shared" si="3"/>
        <v>-</v>
      </c>
      <c r="O10" s="25">
        <v>0.02</v>
      </c>
      <c r="P10">
        <v>1.6</v>
      </c>
      <c r="Q10" t="str">
        <f t="shared" si="4"/>
        <v>-</v>
      </c>
      <c r="R10">
        <v>3.0000000000000001E-3</v>
      </c>
      <c r="S10">
        <v>2.9</v>
      </c>
      <c r="T10" s="25" t="str">
        <f t="shared" si="5"/>
        <v>-</v>
      </c>
    </row>
    <row r="11" spans="1:21">
      <c r="A11" s="11" t="s">
        <v>12</v>
      </c>
      <c r="B11" s="12" t="s">
        <v>14</v>
      </c>
      <c r="C11" s="25">
        <v>0</v>
      </c>
      <c r="D11">
        <v>0</v>
      </c>
      <c r="E11" t="str">
        <f t="shared" si="0"/>
        <v>-</v>
      </c>
      <c r="F11">
        <v>-1E-3</v>
      </c>
      <c r="G11">
        <v>-0.4</v>
      </c>
      <c r="H11" s="25" t="str">
        <f t="shared" si="1"/>
        <v>-</v>
      </c>
      <c r="I11" s="1">
        <v>-0.01</v>
      </c>
      <c r="J11">
        <v>-0.3</v>
      </c>
      <c r="K11" t="str">
        <f t="shared" si="2"/>
        <v>-</v>
      </c>
      <c r="L11">
        <v>0</v>
      </c>
      <c r="M11">
        <v>0</v>
      </c>
      <c r="N11" s="2" t="str">
        <f t="shared" si="3"/>
        <v>-</v>
      </c>
      <c r="O11" s="25">
        <v>0.04</v>
      </c>
      <c r="P11">
        <v>1.1000000000000001</v>
      </c>
      <c r="Q11" t="str">
        <f t="shared" si="4"/>
        <v>-</v>
      </c>
      <c r="R11">
        <v>1E-3</v>
      </c>
      <c r="S11">
        <v>0.4</v>
      </c>
      <c r="T11" s="25" t="str">
        <f t="shared" si="5"/>
        <v>-</v>
      </c>
    </row>
    <row r="12" spans="1:21">
      <c r="A12" s="11" t="s">
        <v>13</v>
      </c>
      <c r="B12" s="12" t="s">
        <v>14</v>
      </c>
      <c r="C12" s="25">
        <v>0</v>
      </c>
      <c r="D12">
        <v>0</v>
      </c>
      <c r="E12" t="str">
        <f t="shared" si="0"/>
        <v>-</v>
      </c>
      <c r="F12">
        <v>0</v>
      </c>
      <c r="G12">
        <v>0</v>
      </c>
      <c r="H12" s="25" t="str">
        <f t="shared" si="1"/>
        <v>-</v>
      </c>
      <c r="I12" s="1">
        <v>0</v>
      </c>
      <c r="J12">
        <v>0</v>
      </c>
      <c r="K12" t="str">
        <f t="shared" si="2"/>
        <v>-</v>
      </c>
      <c r="L12">
        <v>0</v>
      </c>
      <c r="M12">
        <v>0</v>
      </c>
      <c r="N12" s="2" t="str">
        <f t="shared" si="3"/>
        <v>-</v>
      </c>
      <c r="O12" s="25">
        <v>-0.05</v>
      </c>
      <c r="P12">
        <v>-4.7</v>
      </c>
      <c r="Q12" t="str">
        <f t="shared" si="4"/>
        <v>-</v>
      </c>
      <c r="R12">
        <v>-4.0000000000000001E-3</v>
      </c>
      <c r="S12">
        <v>-4.2</v>
      </c>
      <c r="T12" s="25" t="str">
        <f t="shared" si="5"/>
        <v>-</v>
      </c>
    </row>
    <row r="13" spans="1:21">
      <c r="A13" s="11" t="s">
        <v>9</v>
      </c>
      <c r="B13" s="12" t="s">
        <v>15</v>
      </c>
      <c r="C13" s="25">
        <v>-0.01</v>
      </c>
      <c r="D13">
        <v>-0.7</v>
      </c>
      <c r="E13" t="str">
        <f t="shared" si="0"/>
        <v>-</v>
      </c>
      <c r="F13">
        <v>3.0000000000000001E-3</v>
      </c>
      <c r="G13">
        <v>2.1</v>
      </c>
      <c r="H13" s="25" t="str">
        <f t="shared" si="1"/>
        <v>-</v>
      </c>
      <c r="I13" s="1">
        <v>-0.04</v>
      </c>
      <c r="J13">
        <v>-3</v>
      </c>
      <c r="K13" t="str">
        <f t="shared" si="2"/>
        <v>-</v>
      </c>
      <c r="L13">
        <v>-5.0000000000000001E-3</v>
      </c>
      <c r="M13">
        <v>-3.9</v>
      </c>
      <c r="N13" s="2" t="str">
        <f t="shared" si="3"/>
        <v>-</v>
      </c>
      <c r="O13" s="25">
        <v>0</v>
      </c>
      <c r="P13">
        <v>0</v>
      </c>
      <c r="Q13" t="str">
        <f t="shared" si="4"/>
        <v>-</v>
      </c>
      <c r="R13">
        <v>4.0000000000000001E-3</v>
      </c>
      <c r="S13">
        <v>3.3</v>
      </c>
      <c r="T13" s="25" t="str">
        <f t="shared" si="5"/>
        <v>-</v>
      </c>
    </row>
    <row r="14" spans="1:21">
      <c r="A14" s="11" t="s">
        <v>11</v>
      </c>
      <c r="B14" s="12" t="s">
        <v>15</v>
      </c>
      <c r="C14" s="25">
        <v>0.01</v>
      </c>
      <c r="D14">
        <v>0.8</v>
      </c>
      <c r="E14" t="str">
        <f t="shared" si="0"/>
        <v>-</v>
      </c>
      <c r="F14">
        <v>6.0000000000000001E-3</v>
      </c>
      <c r="G14">
        <v>6.2</v>
      </c>
      <c r="H14" s="25" t="str">
        <f t="shared" si="1"/>
        <v>-</v>
      </c>
      <c r="I14" s="1">
        <v>0.01</v>
      </c>
      <c r="J14">
        <v>1</v>
      </c>
      <c r="K14" t="str">
        <f t="shared" si="2"/>
        <v>-</v>
      </c>
      <c r="L14">
        <v>2E-3</v>
      </c>
      <c r="M14">
        <v>2.5</v>
      </c>
      <c r="N14" s="2" t="str">
        <f t="shared" si="3"/>
        <v>-</v>
      </c>
      <c r="O14" s="25">
        <v>0</v>
      </c>
      <c r="P14">
        <v>0</v>
      </c>
      <c r="Q14" t="str">
        <f t="shared" si="4"/>
        <v>-</v>
      </c>
      <c r="R14">
        <v>-1E-3</v>
      </c>
      <c r="S14">
        <v>-1</v>
      </c>
      <c r="T14" s="25" t="str">
        <f t="shared" si="5"/>
        <v>-</v>
      </c>
    </row>
    <row r="15" spans="1:21">
      <c r="A15" s="11" t="s">
        <v>12</v>
      </c>
      <c r="B15" s="12" t="s">
        <v>15</v>
      </c>
      <c r="C15" s="25">
        <v>0.04</v>
      </c>
      <c r="D15">
        <v>1.2</v>
      </c>
      <c r="E15" t="str">
        <f t="shared" si="0"/>
        <v>-</v>
      </c>
      <c r="F15">
        <v>-2E-3</v>
      </c>
      <c r="G15">
        <v>-0.8</v>
      </c>
      <c r="H15" s="25" t="str">
        <f t="shared" si="1"/>
        <v>-</v>
      </c>
      <c r="I15" s="1">
        <v>0.06</v>
      </c>
      <c r="J15">
        <v>2.1</v>
      </c>
      <c r="K15" t="str">
        <f t="shared" si="2"/>
        <v>-</v>
      </c>
      <c r="L15">
        <v>1E-3</v>
      </c>
      <c r="M15">
        <v>0.5</v>
      </c>
      <c r="N15" s="2" t="str">
        <f t="shared" si="3"/>
        <v>-</v>
      </c>
      <c r="O15" s="25">
        <v>0.06</v>
      </c>
      <c r="P15">
        <v>2.1</v>
      </c>
      <c r="Q15" t="str">
        <f t="shared" si="4"/>
        <v>-</v>
      </c>
      <c r="R15">
        <v>3.0000000000000001E-3</v>
      </c>
      <c r="S15">
        <v>1.4</v>
      </c>
      <c r="T15" s="25" t="str">
        <f t="shared" si="5"/>
        <v>-</v>
      </c>
    </row>
    <row r="16" spans="1:21">
      <c r="A16" s="11" t="s">
        <v>13</v>
      </c>
      <c r="B16" s="12" t="s">
        <v>15</v>
      </c>
      <c r="C16" s="25">
        <v>0</v>
      </c>
      <c r="D16">
        <v>0</v>
      </c>
      <c r="E16" t="str">
        <f t="shared" si="0"/>
        <v>-</v>
      </c>
      <c r="F16">
        <v>0</v>
      </c>
      <c r="G16">
        <v>0</v>
      </c>
      <c r="H16" s="25" t="str">
        <f t="shared" si="1"/>
        <v>-</v>
      </c>
      <c r="I16" s="1">
        <v>0</v>
      </c>
      <c r="J16">
        <v>0</v>
      </c>
      <c r="K16" t="str">
        <f t="shared" si="2"/>
        <v>-</v>
      </c>
      <c r="L16">
        <v>0</v>
      </c>
      <c r="M16">
        <v>0</v>
      </c>
      <c r="N16" s="2" t="str">
        <f t="shared" si="3"/>
        <v>-</v>
      </c>
      <c r="O16" s="25">
        <v>0</v>
      </c>
      <c r="P16">
        <v>0</v>
      </c>
      <c r="Q16" t="str">
        <f t="shared" si="4"/>
        <v>-</v>
      </c>
      <c r="R16">
        <v>0</v>
      </c>
      <c r="S16">
        <v>0</v>
      </c>
      <c r="T16" s="25" t="str">
        <f t="shared" si="5"/>
        <v>-</v>
      </c>
    </row>
    <row r="17" spans="1:20">
      <c r="A17" s="11" t="s">
        <v>9</v>
      </c>
      <c r="B17" s="12" t="s">
        <v>16</v>
      </c>
      <c r="C17" s="25">
        <v>-0.03</v>
      </c>
      <c r="D17">
        <v>-2.4</v>
      </c>
      <c r="E17" t="str">
        <f t="shared" si="0"/>
        <v>-</v>
      </c>
      <c r="F17">
        <v>-4.0000000000000001E-3</v>
      </c>
      <c r="G17">
        <v>-3</v>
      </c>
      <c r="H17" s="25" t="str">
        <f t="shared" si="1"/>
        <v>-</v>
      </c>
      <c r="I17" s="1">
        <v>0.01</v>
      </c>
      <c r="J17">
        <v>0.9</v>
      </c>
      <c r="K17" t="str">
        <f t="shared" si="2"/>
        <v>-</v>
      </c>
      <c r="L17">
        <v>5.0000000000000001E-3</v>
      </c>
      <c r="M17">
        <v>4.4000000000000004</v>
      </c>
      <c r="N17" s="2" t="str">
        <f t="shared" si="3"/>
        <v>-</v>
      </c>
      <c r="O17" s="25">
        <v>0.03</v>
      </c>
      <c r="P17">
        <v>2.7</v>
      </c>
      <c r="Q17" t="str">
        <f t="shared" si="4"/>
        <v>-</v>
      </c>
      <c r="R17">
        <v>0</v>
      </c>
      <c r="S17">
        <v>0</v>
      </c>
      <c r="T17" s="25" t="str">
        <f t="shared" si="5"/>
        <v>-</v>
      </c>
    </row>
    <row r="18" spans="1:20">
      <c r="A18" s="11" t="s">
        <v>11</v>
      </c>
      <c r="B18" s="12" t="s">
        <v>16</v>
      </c>
      <c r="C18" s="25">
        <v>0.06</v>
      </c>
      <c r="D18">
        <v>5.6</v>
      </c>
      <c r="E18" t="str">
        <f t="shared" si="0"/>
        <v>-</v>
      </c>
      <c r="F18">
        <v>3.0000000000000001E-3</v>
      </c>
      <c r="G18">
        <v>3.2</v>
      </c>
      <c r="H18" s="25" t="str">
        <f t="shared" si="1"/>
        <v>-</v>
      </c>
      <c r="I18" s="1">
        <v>-0.01</v>
      </c>
      <c r="J18">
        <v>-1.1000000000000001</v>
      </c>
      <c r="K18" t="str">
        <f t="shared" si="2"/>
        <v>-</v>
      </c>
      <c r="L18">
        <v>-1E-3</v>
      </c>
      <c r="M18">
        <v>-1.4</v>
      </c>
      <c r="N18" s="2" t="str">
        <f t="shared" si="3"/>
        <v>-</v>
      </c>
      <c r="O18" s="25">
        <v>-0.03</v>
      </c>
      <c r="P18">
        <v>-3.3</v>
      </c>
      <c r="Q18" t="str">
        <f t="shared" si="4"/>
        <v>-</v>
      </c>
      <c r="R18">
        <v>-6.0000000000000001E-3</v>
      </c>
      <c r="S18">
        <v>-8.6</v>
      </c>
      <c r="T18" s="25" t="str">
        <f t="shared" si="5"/>
        <v>-</v>
      </c>
    </row>
    <row r="19" spans="1:20">
      <c r="A19" s="11" t="s">
        <v>12</v>
      </c>
      <c r="B19" s="12" t="s">
        <v>16</v>
      </c>
      <c r="C19" s="25">
        <v>0</v>
      </c>
      <c r="D19">
        <v>0</v>
      </c>
      <c r="E19" t="str">
        <f t="shared" si="0"/>
        <v>-</v>
      </c>
      <c r="F19">
        <v>2E-3</v>
      </c>
      <c r="G19">
        <v>1.1000000000000001</v>
      </c>
      <c r="H19" s="25" t="str">
        <f t="shared" si="1"/>
        <v>-</v>
      </c>
      <c r="I19" s="1">
        <v>0.01</v>
      </c>
      <c r="J19">
        <v>0.4</v>
      </c>
      <c r="K19" t="str">
        <f t="shared" si="2"/>
        <v>-</v>
      </c>
      <c r="L19">
        <v>4.0000000000000001E-3</v>
      </c>
      <c r="M19">
        <v>2.5</v>
      </c>
      <c r="N19" s="2" t="str">
        <f t="shared" si="3"/>
        <v>-</v>
      </c>
      <c r="O19" s="25">
        <v>-0.06</v>
      </c>
      <c r="P19">
        <v>-2.4</v>
      </c>
      <c r="Q19" t="str">
        <f t="shared" si="4"/>
        <v>-</v>
      </c>
      <c r="R19">
        <v>-1E-3</v>
      </c>
      <c r="S19">
        <v>-0.6</v>
      </c>
      <c r="T19" s="25" t="str">
        <f t="shared" si="5"/>
        <v>-</v>
      </c>
    </row>
    <row r="20" spans="1:20">
      <c r="A20" s="11" t="s">
        <v>13</v>
      </c>
      <c r="B20" s="12" t="s">
        <v>16</v>
      </c>
      <c r="C20" s="25">
        <v>0.12</v>
      </c>
      <c r="D20">
        <v>17.399999999999999</v>
      </c>
      <c r="E20" t="str">
        <f t="shared" si="0"/>
        <v>-</v>
      </c>
      <c r="F20">
        <v>1.0999999999999999E-2</v>
      </c>
      <c r="G20">
        <v>13.1</v>
      </c>
      <c r="H20" s="25" t="str">
        <f t="shared" si="1"/>
        <v>-</v>
      </c>
      <c r="I20" s="1">
        <v>0</v>
      </c>
      <c r="J20">
        <v>0</v>
      </c>
      <c r="K20" t="str">
        <f t="shared" si="2"/>
        <v>-</v>
      </c>
      <c r="L20">
        <v>0</v>
      </c>
      <c r="M20">
        <v>0</v>
      </c>
      <c r="N20" s="2" t="str">
        <f t="shared" si="3"/>
        <v>-</v>
      </c>
      <c r="O20" s="25">
        <v>0</v>
      </c>
      <c r="P20">
        <v>0</v>
      </c>
      <c r="Q20" t="str">
        <f t="shared" si="4"/>
        <v>-</v>
      </c>
      <c r="R20">
        <v>0</v>
      </c>
      <c r="S20">
        <v>0</v>
      </c>
      <c r="T20" s="25" t="str">
        <f t="shared" si="5"/>
        <v>-</v>
      </c>
    </row>
    <row r="21" spans="1:20">
      <c r="A21" s="11" t="s">
        <v>9</v>
      </c>
      <c r="B21" s="12" t="s">
        <v>17</v>
      </c>
      <c r="C21" s="25">
        <v>0.01</v>
      </c>
      <c r="D21">
        <v>0.9</v>
      </c>
      <c r="E21" t="str">
        <f t="shared" si="0"/>
        <v>-</v>
      </c>
      <c r="F21">
        <v>2E-3</v>
      </c>
      <c r="G21">
        <v>1.8</v>
      </c>
      <c r="H21" s="25" t="str">
        <f t="shared" si="1"/>
        <v>-</v>
      </c>
      <c r="I21" s="1">
        <v>0.01</v>
      </c>
      <c r="J21">
        <v>1</v>
      </c>
      <c r="K21" t="str">
        <f t="shared" si="2"/>
        <v>-</v>
      </c>
      <c r="L21">
        <v>1E-3</v>
      </c>
      <c r="M21">
        <v>1.1000000000000001</v>
      </c>
      <c r="N21" s="2" t="str">
        <f t="shared" si="3"/>
        <v>-</v>
      </c>
      <c r="O21" s="25">
        <v>-0.01</v>
      </c>
      <c r="P21">
        <v>-0.9</v>
      </c>
      <c r="Q21" t="str">
        <f t="shared" si="4"/>
        <v>-</v>
      </c>
      <c r="R21">
        <v>8.0000000000000002E-3</v>
      </c>
      <c r="S21">
        <v>8.4</v>
      </c>
      <c r="T21" s="25" t="str">
        <f t="shared" si="5"/>
        <v>-</v>
      </c>
    </row>
    <row r="22" spans="1:20">
      <c r="A22" s="11" t="s">
        <v>11</v>
      </c>
      <c r="B22" s="12" t="s">
        <v>17</v>
      </c>
      <c r="C22" s="25">
        <v>-0.04</v>
      </c>
      <c r="D22">
        <v>-4</v>
      </c>
      <c r="E22" t="str">
        <f t="shared" si="0"/>
        <v>-</v>
      </c>
      <c r="F22">
        <v>8.9999999999999993E-3</v>
      </c>
      <c r="G22">
        <v>8.3000000000000007</v>
      </c>
      <c r="H22" s="25" t="str">
        <f t="shared" si="1"/>
        <v>-</v>
      </c>
      <c r="I22" s="1">
        <v>0.04</v>
      </c>
      <c r="J22">
        <v>3.9</v>
      </c>
      <c r="K22" t="str">
        <f t="shared" si="2"/>
        <v>-</v>
      </c>
      <c r="L22">
        <v>6.0000000000000001E-3</v>
      </c>
      <c r="M22">
        <v>7.2</v>
      </c>
      <c r="N22" s="2" t="str">
        <f t="shared" si="3"/>
        <v>-</v>
      </c>
      <c r="O22" s="25">
        <v>0.03</v>
      </c>
      <c r="P22">
        <v>2.9</v>
      </c>
      <c r="Q22" t="str">
        <f t="shared" si="4"/>
        <v>-</v>
      </c>
      <c r="R22">
        <v>0</v>
      </c>
      <c r="S22">
        <v>0</v>
      </c>
      <c r="T22" s="25" t="str">
        <f t="shared" si="5"/>
        <v>-</v>
      </c>
    </row>
    <row r="23" spans="1:20">
      <c r="A23" s="11" t="s">
        <v>12</v>
      </c>
      <c r="B23" s="12" t="s">
        <v>17</v>
      </c>
      <c r="C23" s="25">
        <v>-0.14000000000000001</v>
      </c>
      <c r="D23">
        <v>-4.0999999999999996</v>
      </c>
      <c r="E23" t="str">
        <f t="shared" si="0"/>
        <v>-</v>
      </c>
      <c r="F23">
        <v>-2E-3</v>
      </c>
      <c r="G23">
        <v>-1</v>
      </c>
      <c r="H23" s="25" t="str">
        <f t="shared" si="1"/>
        <v>-</v>
      </c>
      <c r="I23" s="1">
        <v>0.01</v>
      </c>
      <c r="J23">
        <v>0.3</v>
      </c>
      <c r="K23" t="str">
        <f t="shared" si="2"/>
        <v>-</v>
      </c>
      <c r="L23">
        <v>0</v>
      </c>
      <c r="M23">
        <v>0</v>
      </c>
      <c r="N23" s="2" t="str">
        <f t="shared" si="3"/>
        <v>-</v>
      </c>
      <c r="O23" s="25">
        <v>-0.11</v>
      </c>
      <c r="P23">
        <v>-3.6</v>
      </c>
      <c r="Q23" t="str">
        <f t="shared" si="4"/>
        <v>-</v>
      </c>
      <c r="R23">
        <v>2E-3</v>
      </c>
      <c r="S23">
        <v>1.1000000000000001</v>
      </c>
      <c r="T23" s="25" t="str">
        <f t="shared" si="5"/>
        <v>-</v>
      </c>
    </row>
    <row r="24" spans="1:20">
      <c r="A24" s="11" t="s">
        <v>13</v>
      </c>
      <c r="B24" s="12" t="s">
        <v>17</v>
      </c>
      <c r="C24" s="25">
        <v>0</v>
      </c>
      <c r="D24">
        <v>0</v>
      </c>
      <c r="E24" t="str">
        <f t="shared" si="0"/>
        <v>-</v>
      </c>
      <c r="F24">
        <v>0</v>
      </c>
      <c r="G24">
        <v>0</v>
      </c>
      <c r="H24" s="25" t="str">
        <f t="shared" si="1"/>
        <v>-</v>
      </c>
      <c r="I24" s="1">
        <v>0</v>
      </c>
      <c r="J24">
        <v>0</v>
      </c>
      <c r="K24" t="str">
        <f t="shared" si="2"/>
        <v>-</v>
      </c>
      <c r="L24">
        <v>0</v>
      </c>
      <c r="M24">
        <v>0</v>
      </c>
      <c r="N24" s="2" t="str">
        <f t="shared" si="3"/>
        <v>-</v>
      </c>
      <c r="O24" s="25">
        <v>0</v>
      </c>
      <c r="P24">
        <v>0</v>
      </c>
      <c r="Q24" t="str">
        <f t="shared" si="4"/>
        <v>-</v>
      </c>
      <c r="R24">
        <v>0</v>
      </c>
      <c r="S24">
        <v>0</v>
      </c>
      <c r="T24" s="25" t="str">
        <f t="shared" si="5"/>
        <v>-</v>
      </c>
    </row>
    <row r="25" spans="1:20">
      <c r="A25" s="11" t="s">
        <v>9</v>
      </c>
      <c r="B25" s="12" t="s">
        <v>18</v>
      </c>
      <c r="C25" s="25">
        <v>-0.06</v>
      </c>
      <c r="D25">
        <v>-3.4</v>
      </c>
      <c r="E25" t="str">
        <f t="shared" si="0"/>
        <v>-</v>
      </c>
      <c r="F25">
        <v>-7.0000000000000001E-3</v>
      </c>
      <c r="G25">
        <v>-5.3</v>
      </c>
      <c r="H25" s="25" t="str">
        <f t="shared" si="1"/>
        <v>-</v>
      </c>
      <c r="I25" s="1">
        <v>0.02</v>
      </c>
      <c r="J25">
        <v>1.3</v>
      </c>
      <c r="K25" t="str">
        <f t="shared" si="2"/>
        <v>-</v>
      </c>
      <c r="L25">
        <v>-6.0000000000000001E-3</v>
      </c>
      <c r="M25">
        <v>-5.2</v>
      </c>
      <c r="N25" s="2" t="str">
        <f t="shared" si="3"/>
        <v>-</v>
      </c>
      <c r="O25" s="25">
        <v>-0.01</v>
      </c>
      <c r="P25">
        <v>-0.6</v>
      </c>
      <c r="Q25" t="str">
        <f t="shared" si="4"/>
        <v>-</v>
      </c>
      <c r="R25">
        <v>2E-3</v>
      </c>
      <c r="S25">
        <v>1.8</v>
      </c>
      <c r="T25" s="25" t="str">
        <f t="shared" si="5"/>
        <v>-</v>
      </c>
    </row>
    <row r="26" spans="1:20">
      <c r="A26" s="11" t="s">
        <v>11</v>
      </c>
      <c r="B26" s="12" t="s">
        <v>18</v>
      </c>
      <c r="C26" s="25">
        <v>-0.09</v>
      </c>
      <c r="D26">
        <v>-6.7</v>
      </c>
      <c r="E26" t="str">
        <f t="shared" si="0"/>
        <v>-</v>
      </c>
      <c r="F26">
        <v>-8.0000000000000002E-3</v>
      </c>
      <c r="G26">
        <v>-7</v>
      </c>
      <c r="H26" s="25" t="str">
        <f t="shared" si="1"/>
        <v>-</v>
      </c>
      <c r="I26" s="1">
        <v>0.06</v>
      </c>
      <c r="J26">
        <v>4.8</v>
      </c>
      <c r="K26" t="str">
        <f t="shared" si="2"/>
        <v>-</v>
      </c>
      <c r="L26">
        <v>5.0000000000000001E-3</v>
      </c>
      <c r="M26">
        <v>4.5999999999999996</v>
      </c>
      <c r="N26" s="2" t="str">
        <f t="shared" si="3"/>
        <v>-</v>
      </c>
      <c r="O26" s="25">
        <v>0.03</v>
      </c>
      <c r="P26">
        <v>2.5</v>
      </c>
      <c r="Q26" t="str">
        <f t="shared" si="4"/>
        <v>-</v>
      </c>
      <c r="R26">
        <v>5.0000000000000001E-3</v>
      </c>
      <c r="S26">
        <v>4.9000000000000004</v>
      </c>
      <c r="T26" s="25" t="str">
        <f t="shared" si="5"/>
        <v>-</v>
      </c>
    </row>
    <row r="27" spans="1:20">
      <c r="A27" s="11" t="s">
        <v>12</v>
      </c>
      <c r="B27" s="12" t="s">
        <v>18</v>
      </c>
      <c r="C27" s="25">
        <v>0.12</v>
      </c>
      <c r="D27">
        <v>4.2</v>
      </c>
      <c r="E27" t="str">
        <f t="shared" si="0"/>
        <v>-</v>
      </c>
      <c r="F27">
        <v>6.0000000000000001E-3</v>
      </c>
      <c r="G27">
        <v>4</v>
      </c>
      <c r="H27" s="25" t="str">
        <f t="shared" si="1"/>
        <v>-</v>
      </c>
      <c r="I27" s="1">
        <v>-0.26</v>
      </c>
      <c r="J27">
        <v>-7.3</v>
      </c>
      <c r="K27" t="str">
        <f t="shared" si="2"/>
        <v>-</v>
      </c>
      <c r="L27">
        <v>-5.0000000000000001E-3</v>
      </c>
      <c r="M27">
        <v>-3.2</v>
      </c>
      <c r="N27" s="2" t="str">
        <f t="shared" si="3"/>
        <v>-</v>
      </c>
      <c r="O27" s="25">
        <v>0.04</v>
      </c>
      <c r="P27">
        <v>1.1000000000000001</v>
      </c>
      <c r="Q27" t="str">
        <f t="shared" si="4"/>
        <v>-</v>
      </c>
      <c r="R27">
        <v>0</v>
      </c>
      <c r="S27">
        <v>0</v>
      </c>
      <c r="T27" s="25" t="str">
        <f t="shared" si="5"/>
        <v>-</v>
      </c>
    </row>
    <row r="28" spans="1:20">
      <c r="A28" s="11" t="s">
        <v>13</v>
      </c>
      <c r="B28" s="12" t="s">
        <v>18</v>
      </c>
      <c r="C28" s="25">
        <v>0.09</v>
      </c>
      <c r="D28">
        <v>14.1</v>
      </c>
      <c r="E28" t="str">
        <f t="shared" si="0"/>
        <v>-</v>
      </c>
      <c r="F28">
        <v>2.3E-2</v>
      </c>
      <c r="G28">
        <v>36.5</v>
      </c>
      <c r="H28" s="25" t="str">
        <f t="shared" si="1"/>
        <v>-</v>
      </c>
      <c r="I28" s="1">
        <v>0</v>
      </c>
      <c r="J28">
        <v>0</v>
      </c>
      <c r="K28" t="str">
        <f t="shared" si="2"/>
        <v>-</v>
      </c>
      <c r="L28">
        <v>0</v>
      </c>
      <c r="M28">
        <v>0</v>
      </c>
      <c r="N28" s="2" t="str">
        <f t="shared" si="3"/>
        <v>-</v>
      </c>
      <c r="O28" s="25">
        <v>0</v>
      </c>
      <c r="P28">
        <v>0</v>
      </c>
      <c r="Q28" t="str">
        <f t="shared" si="4"/>
        <v>-</v>
      </c>
      <c r="R28">
        <v>0</v>
      </c>
      <c r="S28">
        <v>0</v>
      </c>
      <c r="T28" s="25" t="str">
        <f t="shared" si="5"/>
        <v>-</v>
      </c>
    </row>
    <row r="29" spans="1:20">
      <c r="A29" s="11" t="s">
        <v>9</v>
      </c>
      <c r="B29" s="13">
        <v>0.4</v>
      </c>
      <c r="C29" s="25">
        <v>-0.04</v>
      </c>
      <c r="D29">
        <v>-3.4</v>
      </c>
      <c r="E29" t="str">
        <f t="shared" si="0"/>
        <v>-</v>
      </c>
      <c r="F29">
        <v>2E-3</v>
      </c>
      <c r="G29">
        <v>2</v>
      </c>
      <c r="H29" s="25" t="str">
        <f t="shared" si="1"/>
        <v>-</v>
      </c>
      <c r="I29" s="1">
        <v>-0.08</v>
      </c>
      <c r="J29">
        <v>-7</v>
      </c>
      <c r="K29" t="str">
        <f t="shared" si="2"/>
        <v>-</v>
      </c>
      <c r="L29">
        <v>-1E-3</v>
      </c>
      <c r="M29">
        <v>-1.1000000000000001</v>
      </c>
      <c r="N29" s="2" t="str">
        <f t="shared" si="3"/>
        <v>-</v>
      </c>
      <c r="O29" s="25">
        <v>0.04</v>
      </c>
      <c r="P29">
        <v>4.5</v>
      </c>
      <c r="Q29" t="str">
        <f t="shared" si="4"/>
        <v>-</v>
      </c>
      <c r="R29">
        <v>1.2E-2</v>
      </c>
      <c r="S29">
        <v>14.6</v>
      </c>
      <c r="T29" s="25" t="str">
        <f t="shared" si="5"/>
        <v>-</v>
      </c>
    </row>
    <row r="30" spans="1:20">
      <c r="A30" s="11" t="s">
        <v>11</v>
      </c>
      <c r="B30" s="13">
        <v>0.4</v>
      </c>
      <c r="C30" s="25">
        <v>-0.02</v>
      </c>
      <c r="D30">
        <v>-1.7</v>
      </c>
      <c r="E30" t="str">
        <f t="shared" si="0"/>
        <v>-</v>
      </c>
      <c r="F30">
        <v>7.0000000000000001E-3</v>
      </c>
      <c r="G30">
        <v>5.9</v>
      </c>
      <c r="H30" s="25" t="str">
        <f t="shared" si="1"/>
        <v>-</v>
      </c>
      <c r="I30" s="1">
        <v>0.04</v>
      </c>
      <c r="J30">
        <v>4.3</v>
      </c>
      <c r="K30" t="str">
        <f t="shared" si="2"/>
        <v>-</v>
      </c>
      <c r="L30">
        <v>-0.01</v>
      </c>
      <c r="M30">
        <v>-10.3</v>
      </c>
      <c r="N30" s="2" t="str">
        <f t="shared" si="3"/>
        <v>-</v>
      </c>
      <c r="O30" s="25">
        <v>0.03</v>
      </c>
      <c r="P30">
        <v>2.8</v>
      </c>
      <c r="Q30" t="str">
        <f t="shared" si="4"/>
        <v>-</v>
      </c>
      <c r="R30">
        <v>-2E-3</v>
      </c>
      <c r="S30">
        <v>-1.9</v>
      </c>
      <c r="T30" s="25" t="str">
        <f t="shared" si="5"/>
        <v>-</v>
      </c>
    </row>
    <row r="31" spans="1:20">
      <c r="A31" s="11" t="s">
        <v>12</v>
      </c>
      <c r="B31" s="13">
        <v>0.4</v>
      </c>
      <c r="C31" s="25">
        <v>0.02</v>
      </c>
      <c r="D31">
        <v>1.1000000000000001</v>
      </c>
      <c r="E31" t="str">
        <f t="shared" si="0"/>
        <v>-</v>
      </c>
      <c r="F31">
        <v>2E-3</v>
      </c>
      <c r="G31">
        <v>1.3</v>
      </c>
      <c r="H31" s="25" t="str">
        <f t="shared" si="1"/>
        <v>-</v>
      </c>
      <c r="I31" s="1">
        <v>0.01</v>
      </c>
      <c r="J31">
        <v>0.6</v>
      </c>
      <c r="K31" t="str">
        <f t="shared" si="2"/>
        <v>-</v>
      </c>
      <c r="L31">
        <v>-2E-3</v>
      </c>
      <c r="M31">
        <v>-1.6</v>
      </c>
      <c r="N31" s="2" t="str">
        <f t="shared" si="3"/>
        <v>-</v>
      </c>
      <c r="O31" s="25">
        <v>0.04</v>
      </c>
      <c r="P31">
        <v>2.9</v>
      </c>
      <c r="Q31" t="str">
        <f t="shared" si="4"/>
        <v>-</v>
      </c>
      <c r="R31">
        <v>1E-3</v>
      </c>
      <c r="S31">
        <v>0.9</v>
      </c>
      <c r="T31" s="25" t="str">
        <f t="shared" si="5"/>
        <v>-</v>
      </c>
    </row>
    <row r="32" spans="1:20">
      <c r="A32" s="11" t="s">
        <v>13</v>
      </c>
      <c r="B32" s="13">
        <v>0.4</v>
      </c>
      <c r="C32" s="25">
        <v>0</v>
      </c>
      <c r="D32">
        <v>0</v>
      </c>
      <c r="E32" t="str">
        <f t="shared" si="0"/>
        <v>-</v>
      </c>
      <c r="F32">
        <v>0</v>
      </c>
      <c r="G32">
        <v>0</v>
      </c>
      <c r="H32" s="25" t="str">
        <f t="shared" si="1"/>
        <v>-</v>
      </c>
      <c r="I32" s="1">
        <v>0</v>
      </c>
      <c r="J32">
        <v>0</v>
      </c>
      <c r="K32" t="str">
        <f t="shared" si="2"/>
        <v>-</v>
      </c>
      <c r="L32">
        <v>0</v>
      </c>
      <c r="M32">
        <v>0</v>
      </c>
      <c r="N32" s="2" t="str">
        <f t="shared" si="3"/>
        <v>-</v>
      </c>
      <c r="O32" s="25">
        <v>0.06</v>
      </c>
      <c r="P32">
        <v>7.7</v>
      </c>
      <c r="Q32" t="str">
        <f t="shared" si="4"/>
        <v>-</v>
      </c>
      <c r="R32">
        <v>0</v>
      </c>
      <c r="S32">
        <v>0</v>
      </c>
      <c r="T32" s="25" t="str">
        <f t="shared" si="5"/>
        <v>-</v>
      </c>
    </row>
    <row r="33" spans="1:20">
      <c r="A33" s="11" t="s">
        <v>9</v>
      </c>
      <c r="B33" s="13">
        <v>0.5</v>
      </c>
      <c r="C33" s="25">
        <v>-0.04</v>
      </c>
      <c r="D33">
        <v>-3.5</v>
      </c>
      <c r="E33" t="str">
        <f t="shared" si="0"/>
        <v>-</v>
      </c>
      <c r="F33">
        <v>-8.9999999999999993E-3</v>
      </c>
      <c r="G33">
        <v>-8</v>
      </c>
      <c r="H33" s="25" t="str">
        <f t="shared" si="1"/>
        <v>-</v>
      </c>
      <c r="I33" s="1">
        <v>0.09</v>
      </c>
      <c r="J33">
        <v>8.5</v>
      </c>
      <c r="K33" t="str">
        <f t="shared" si="2"/>
        <v>-</v>
      </c>
      <c r="L33">
        <v>-2E-3</v>
      </c>
      <c r="M33">
        <v>-2</v>
      </c>
      <c r="N33" s="2" t="str">
        <f t="shared" si="3"/>
        <v>-</v>
      </c>
      <c r="O33" s="25">
        <v>0.05</v>
      </c>
      <c r="P33">
        <v>5</v>
      </c>
      <c r="Q33" t="str">
        <f t="shared" si="4"/>
        <v>-</v>
      </c>
      <c r="R33">
        <v>7.0000000000000001E-3</v>
      </c>
      <c r="S33">
        <v>7.2</v>
      </c>
      <c r="T33" s="25" t="str">
        <f t="shared" si="5"/>
        <v>-</v>
      </c>
    </row>
    <row r="34" spans="1:20">
      <c r="A34" s="11" t="s">
        <v>11</v>
      </c>
      <c r="B34" s="13">
        <v>0.5</v>
      </c>
      <c r="C34" s="25">
        <v>0.06</v>
      </c>
      <c r="D34">
        <v>6.6</v>
      </c>
      <c r="E34" t="str">
        <f t="shared" si="0"/>
        <v>-</v>
      </c>
      <c r="F34">
        <v>8.9999999999999993E-3</v>
      </c>
      <c r="G34">
        <v>10.1</v>
      </c>
      <c r="H34" s="25" t="str">
        <f t="shared" si="1"/>
        <v>-</v>
      </c>
      <c r="I34" s="1">
        <v>0.1</v>
      </c>
      <c r="J34">
        <v>11.9</v>
      </c>
      <c r="K34" t="str">
        <f t="shared" si="2"/>
        <v>-</v>
      </c>
      <c r="L34">
        <v>-2E-3</v>
      </c>
      <c r="M34">
        <v>-2.2000000000000002</v>
      </c>
      <c r="N34" s="2" t="str">
        <f t="shared" si="3"/>
        <v>-</v>
      </c>
      <c r="O34" s="25">
        <v>0.01</v>
      </c>
      <c r="P34">
        <v>1.2</v>
      </c>
      <c r="Q34" t="str">
        <f t="shared" si="4"/>
        <v>-</v>
      </c>
      <c r="R34">
        <v>-7.0000000000000001E-3</v>
      </c>
      <c r="S34">
        <v>-7.5</v>
      </c>
      <c r="T34" s="25" t="str">
        <f t="shared" si="5"/>
        <v>-</v>
      </c>
    </row>
    <row r="35" spans="1:20">
      <c r="A35" s="11" t="s">
        <v>12</v>
      </c>
      <c r="B35" s="13">
        <v>0.5</v>
      </c>
      <c r="C35" s="25">
        <v>0.02</v>
      </c>
      <c r="D35">
        <v>0.8</v>
      </c>
      <c r="E35" t="str">
        <f t="shared" si="0"/>
        <v>-</v>
      </c>
      <c r="F35">
        <v>-1E-3</v>
      </c>
      <c r="G35">
        <v>-0.7</v>
      </c>
      <c r="H35" s="25" t="str">
        <f t="shared" si="1"/>
        <v>-</v>
      </c>
      <c r="I35" s="1">
        <v>0.14000000000000001</v>
      </c>
      <c r="J35">
        <v>6.6</v>
      </c>
      <c r="K35" t="str">
        <f t="shared" si="2"/>
        <v>-</v>
      </c>
      <c r="L35">
        <v>8.9999999999999993E-3</v>
      </c>
      <c r="M35">
        <v>6.6</v>
      </c>
      <c r="N35" s="2" t="str">
        <f t="shared" si="3"/>
        <v>-</v>
      </c>
      <c r="O35" s="25">
        <v>-0.02</v>
      </c>
      <c r="P35">
        <v>-1</v>
      </c>
      <c r="Q35" t="str">
        <f t="shared" si="4"/>
        <v>-</v>
      </c>
      <c r="R35">
        <v>-1E-3</v>
      </c>
      <c r="S35">
        <v>-0.7</v>
      </c>
      <c r="T35" s="25" t="str">
        <f t="shared" si="5"/>
        <v>-</v>
      </c>
    </row>
    <row r="36" spans="1:20">
      <c r="A36" s="11" t="s">
        <v>13</v>
      </c>
      <c r="B36" s="13">
        <v>0.5</v>
      </c>
      <c r="C36" s="25">
        <v>0</v>
      </c>
      <c r="D36">
        <v>0</v>
      </c>
      <c r="E36" t="str">
        <f t="shared" si="0"/>
        <v>-</v>
      </c>
      <c r="F36">
        <v>0</v>
      </c>
      <c r="G36">
        <v>0</v>
      </c>
      <c r="H36" s="25" t="str">
        <f t="shared" si="1"/>
        <v>-</v>
      </c>
      <c r="I36" s="1">
        <v>0</v>
      </c>
      <c r="J36">
        <v>0</v>
      </c>
      <c r="K36" t="str">
        <f t="shared" si="2"/>
        <v>-</v>
      </c>
      <c r="L36">
        <v>0</v>
      </c>
      <c r="M36">
        <v>0</v>
      </c>
      <c r="N36" s="2" t="str">
        <f t="shared" si="3"/>
        <v>-</v>
      </c>
      <c r="O36" s="25">
        <v>0</v>
      </c>
      <c r="P36">
        <v>0</v>
      </c>
      <c r="Q36" t="str">
        <f t="shared" si="4"/>
        <v>-</v>
      </c>
      <c r="R36">
        <v>0</v>
      </c>
      <c r="S36">
        <v>0</v>
      </c>
      <c r="T36" s="25" t="str">
        <f t="shared" si="5"/>
        <v>-</v>
      </c>
    </row>
    <row r="37" spans="1:20">
      <c r="A37" s="11" t="s">
        <v>9</v>
      </c>
      <c r="B37" s="13">
        <v>0.6</v>
      </c>
      <c r="C37" s="25">
        <v>0.01</v>
      </c>
      <c r="D37">
        <v>1</v>
      </c>
      <c r="E37" t="str">
        <f t="shared" si="0"/>
        <v>-</v>
      </c>
      <c r="F37">
        <v>8.9999999999999993E-3</v>
      </c>
      <c r="G37">
        <v>8.6</v>
      </c>
      <c r="H37" s="25" t="str">
        <f t="shared" si="1"/>
        <v>-</v>
      </c>
      <c r="I37" s="1">
        <v>0.05</v>
      </c>
      <c r="J37">
        <v>4.8</v>
      </c>
      <c r="K37" t="str">
        <f t="shared" si="2"/>
        <v>-</v>
      </c>
      <c r="L37">
        <v>-7.0000000000000001E-3</v>
      </c>
      <c r="M37">
        <v>-6.3</v>
      </c>
      <c r="N37" s="2" t="str">
        <f t="shared" si="3"/>
        <v>-</v>
      </c>
      <c r="O37" s="25">
        <v>0.02</v>
      </c>
      <c r="P37">
        <v>1.9</v>
      </c>
      <c r="Q37" t="str">
        <f t="shared" si="4"/>
        <v>-</v>
      </c>
      <c r="R37">
        <v>2E-3</v>
      </c>
      <c r="S37">
        <v>1.8</v>
      </c>
      <c r="T37" s="25" t="str">
        <f t="shared" si="5"/>
        <v>-</v>
      </c>
    </row>
    <row r="38" spans="1:20">
      <c r="A38" s="11" t="s">
        <v>11</v>
      </c>
      <c r="B38" s="13">
        <v>0.6</v>
      </c>
      <c r="C38" s="25">
        <v>0.11</v>
      </c>
      <c r="D38">
        <v>12</v>
      </c>
      <c r="E38" t="str">
        <f t="shared" si="0"/>
        <v>-</v>
      </c>
      <c r="F38">
        <v>-1E-3</v>
      </c>
      <c r="G38">
        <v>-1.1000000000000001</v>
      </c>
      <c r="H38" s="25" t="str">
        <f t="shared" si="1"/>
        <v>-</v>
      </c>
      <c r="I38" s="1">
        <v>0</v>
      </c>
      <c r="J38">
        <v>0</v>
      </c>
      <c r="K38" t="str">
        <f t="shared" si="2"/>
        <v>-</v>
      </c>
      <c r="L38">
        <v>-2E-3</v>
      </c>
      <c r="M38">
        <v>-2.5</v>
      </c>
      <c r="N38" s="2" t="str">
        <f t="shared" si="3"/>
        <v>-</v>
      </c>
      <c r="O38" s="25">
        <v>0.03</v>
      </c>
      <c r="P38">
        <v>3.7</v>
      </c>
      <c r="Q38" t="str">
        <f t="shared" si="4"/>
        <v>-</v>
      </c>
      <c r="R38">
        <v>8.9999999999999993E-3</v>
      </c>
      <c r="S38">
        <v>12</v>
      </c>
      <c r="T38" s="25" t="str">
        <f t="shared" si="5"/>
        <v>-</v>
      </c>
    </row>
    <row r="39" spans="1:20">
      <c r="A39" s="11" t="s">
        <v>12</v>
      </c>
      <c r="B39" s="13">
        <v>0.6</v>
      </c>
      <c r="C39" s="25">
        <v>-0.11</v>
      </c>
      <c r="D39">
        <v>-3.5</v>
      </c>
      <c r="E39" t="str">
        <f t="shared" si="0"/>
        <v>-</v>
      </c>
      <c r="F39">
        <v>0</v>
      </c>
      <c r="G39">
        <v>0</v>
      </c>
      <c r="H39" s="25" t="str">
        <f t="shared" si="1"/>
        <v>-</v>
      </c>
      <c r="I39" s="1">
        <v>-0.04</v>
      </c>
      <c r="J39">
        <v>-1.5</v>
      </c>
      <c r="K39" t="str">
        <f t="shared" si="2"/>
        <v>-</v>
      </c>
      <c r="L39">
        <v>-1E-3</v>
      </c>
      <c r="M39">
        <v>-0.7</v>
      </c>
      <c r="N39" s="2" t="str">
        <f t="shared" si="3"/>
        <v>-</v>
      </c>
      <c r="O39" s="25">
        <v>0.06</v>
      </c>
      <c r="P39">
        <v>2.2000000000000002</v>
      </c>
      <c r="Q39" t="str">
        <f t="shared" si="4"/>
        <v>-</v>
      </c>
      <c r="R39">
        <v>2E-3</v>
      </c>
      <c r="S39">
        <v>1.3</v>
      </c>
      <c r="T39" s="25" t="str">
        <f t="shared" si="5"/>
        <v>-</v>
      </c>
    </row>
    <row r="40" spans="1:20">
      <c r="A40" s="11" t="s">
        <v>13</v>
      </c>
      <c r="B40" s="13">
        <v>0.6</v>
      </c>
      <c r="C40" s="25">
        <v>0.03</v>
      </c>
      <c r="D40">
        <v>3.4</v>
      </c>
      <c r="E40" t="str">
        <f t="shared" si="0"/>
        <v>-</v>
      </c>
      <c r="F40">
        <v>0.01</v>
      </c>
      <c r="G40">
        <v>9.3000000000000007</v>
      </c>
      <c r="H40" s="25" t="str">
        <f t="shared" si="1"/>
        <v>-</v>
      </c>
      <c r="I40" s="1">
        <v>0</v>
      </c>
      <c r="J40">
        <v>0</v>
      </c>
      <c r="K40" t="str">
        <f t="shared" si="2"/>
        <v>-</v>
      </c>
      <c r="L40">
        <v>3.0000000000000001E-3</v>
      </c>
      <c r="M40">
        <v>2.6</v>
      </c>
      <c r="N40" s="2" t="str">
        <f t="shared" si="3"/>
        <v>-</v>
      </c>
      <c r="O40" s="25">
        <v>-0.14000000000000001</v>
      </c>
      <c r="P40">
        <v>-17.100000000000001</v>
      </c>
      <c r="Q40" t="str">
        <f t="shared" si="4"/>
        <v>-</v>
      </c>
      <c r="R40">
        <v>-1.4E-2</v>
      </c>
      <c r="S40">
        <v>-20</v>
      </c>
      <c r="T40" s="25" t="str">
        <f t="shared" si="5"/>
        <v>-</v>
      </c>
    </row>
    <row r="41" spans="1:20">
      <c r="A41" s="11" t="s">
        <v>9</v>
      </c>
      <c r="B41" s="13">
        <v>0.7</v>
      </c>
      <c r="C41" s="25">
        <v>-0.01</v>
      </c>
      <c r="D41">
        <v>-0.8</v>
      </c>
      <c r="E41" t="str">
        <f t="shared" si="0"/>
        <v>-</v>
      </c>
      <c r="F41">
        <v>-2E-3</v>
      </c>
      <c r="G41">
        <v>-1.7</v>
      </c>
      <c r="H41" s="25" t="str">
        <f t="shared" si="1"/>
        <v>-</v>
      </c>
      <c r="I41" s="1">
        <v>0.04</v>
      </c>
      <c r="J41">
        <v>3.4</v>
      </c>
      <c r="K41" t="str">
        <f t="shared" si="2"/>
        <v>-</v>
      </c>
      <c r="L41">
        <v>-4.0000000000000001E-3</v>
      </c>
      <c r="M41">
        <v>-3.3</v>
      </c>
      <c r="N41" s="2" t="str">
        <f t="shared" si="3"/>
        <v>-</v>
      </c>
      <c r="O41" s="25">
        <v>0</v>
      </c>
      <c r="P41">
        <v>0</v>
      </c>
      <c r="Q41" t="str">
        <f t="shared" si="4"/>
        <v>-</v>
      </c>
      <c r="R41">
        <v>1E-3</v>
      </c>
      <c r="S41">
        <v>0.8</v>
      </c>
      <c r="T41" s="25" t="str">
        <f t="shared" si="5"/>
        <v>-</v>
      </c>
    </row>
    <row r="42" spans="1:20">
      <c r="A42" s="11" t="s">
        <v>11</v>
      </c>
      <c r="B42" s="13">
        <v>0.7</v>
      </c>
      <c r="C42" s="25">
        <v>0.05</v>
      </c>
      <c r="D42">
        <v>5.3</v>
      </c>
      <c r="E42" t="str">
        <f t="shared" si="0"/>
        <v>-</v>
      </c>
      <c r="F42">
        <v>6.0000000000000001E-3</v>
      </c>
      <c r="G42">
        <v>6.9</v>
      </c>
      <c r="H42" s="25" t="str">
        <f t="shared" si="1"/>
        <v>-</v>
      </c>
      <c r="I42" s="1">
        <v>0.01</v>
      </c>
      <c r="J42">
        <v>1.2</v>
      </c>
      <c r="K42" t="str">
        <f t="shared" si="2"/>
        <v>-</v>
      </c>
      <c r="L42">
        <v>-1E-3</v>
      </c>
      <c r="M42">
        <v>-1.3</v>
      </c>
      <c r="N42" s="2" t="str">
        <f t="shared" si="3"/>
        <v>-</v>
      </c>
      <c r="O42" s="25">
        <v>0.13</v>
      </c>
      <c r="P42">
        <v>14</v>
      </c>
      <c r="Q42" t="str">
        <f t="shared" si="4"/>
        <v>-</v>
      </c>
      <c r="R42">
        <v>0</v>
      </c>
      <c r="S42">
        <v>0</v>
      </c>
      <c r="T42" s="25" t="str">
        <f t="shared" si="5"/>
        <v>-</v>
      </c>
    </row>
    <row r="43" spans="1:20">
      <c r="A43" s="11" t="s">
        <v>12</v>
      </c>
      <c r="B43" s="13">
        <v>0.7</v>
      </c>
      <c r="C43" s="25">
        <v>0.02</v>
      </c>
      <c r="D43">
        <v>0.6</v>
      </c>
      <c r="E43" t="str">
        <f t="shared" si="0"/>
        <v>-</v>
      </c>
      <c r="F43">
        <v>-1E-3</v>
      </c>
      <c r="G43">
        <v>-0.5</v>
      </c>
      <c r="H43" s="25" t="str">
        <f t="shared" si="1"/>
        <v>-</v>
      </c>
      <c r="I43" s="1">
        <v>-0.16</v>
      </c>
      <c r="J43">
        <v>-4.2</v>
      </c>
      <c r="K43" t="str">
        <f t="shared" si="2"/>
        <v>-</v>
      </c>
      <c r="L43">
        <v>3.0000000000000001E-3</v>
      </c>
      <c r="M43">
        <v>1.4</v>
      </c>
      <c r="N43" s="2" t="str">
        <f t="shared" si="3"/>
        <v>-</v>
      </c>
      <c r="O43" s="25">
        <v>-0.22</v>
      </c>
      <c r="P43">
        <v>-5.6</v>
      </c>
      <c r="Q43" t="str">
        <f t="shared" si="4"/>
        <v>-</v>
      </c>
      <c r="R43">
        <v>5.0000000000000001E-3</v>
      </c>
      <c r="S43">
        <v>2.4</v>
      </c>
      <c r="T43" s="25" t="str">
        <f t="shared" si="5"/>
        <v>-</v>
      </c>
    </row>
    <row r="44" spans="1:20">
      <c r="A44" s="11" t="s">
        <v>13</v>
      </c>
      <c r="B44" s="13">
        <v>0.7</v>
      </c>
      <c r="C44" s="25">
        <v>-0.02</v>
      </c>
      <c r="D44">
        <v>-2.7</v>
      </c>
      <c r="E44" t="str">
        <f t="shared" si="0"/>
        <v>-</v>
      </c>
      <c r="F44">
        <v>-2E-3</v>
      </c>
      <c r="G44">
        <v>-2.5</v>
      </c>
      <c r="H44" s="25" t="str">
        <f t="shared" si="1"/>
        <v>-</v>
      </c>
      <c r="I44" s="1">
        <v>0</v>
      </c>
      <c r="J44">
        <v>0</v>
      </c>
      <c r="K44" t="str">
        <f t="shared" si="2"/>
        <v>-</v>
      </c>
      <c r="L44">
        <v>0</v>
      </c>
      <c r="M44">
        <v>0</v>
      </c>
      <c r="N44" s="2" t="str">
        <f t="shared" si="3"/>
        <v>-</v>
      </c>
      <c r="O44" s="25">
        <v>0</v>
      </c>
      <c r="P44">
        <v>0</v>
      </c>
      <c r="Q44" t="str">
        <f t="shared" si="4"/>
        <v>-</v>
      </c>
      <c r="R44">
        <v>0</v>
      </c>
      <c r="S44">
        <v>0</v>
      </c>
      <c r="T44" s="25" t="str">
        <f t="shared" si="5"/>
        <v>-</v>
      </c>
    </row>
    <row r="45" spans="1:20">
      <c r="A45" s="11" t="s">
        <v>9</v>
      </c>
      <c r="B45" s="13">
        <v>0.8</v>
      </c>
      <c r="C45" s="25">
        <v>-0.01</v>
      </c>
      <c r="D45">
        <v>-0.5</v>
      </c>
      <c r="E45" t="str">
        <f t="shared" si="0"/>
        <v>-</v>
      </c>
      <c r="F45">
        <v>0</v>
      </c>
      <c r="G45">
        <v>0</v>
      </c>
      <c r="H45" s="25" t="str">
        <f t="shared" si="1"/>
        <v>-</v>
      </c>
      <c r="I45" s="1">
        <v>0.01</v>
      </c>
      <c r="J45">
        <v>0.3</v>
      </c>
      <c r="K45" t="str">
        <f t="shared" si="2"/>
        <v>-</v>
      </c>
      <c r="L45">
        <v>0</v>
      </c>
      <c r="M45">
        <v>0</v>
      </c>
      <c r="N45" s="2" t="str">
        <f t="shared" si="3"/>
        <v>-</v>
      </c>
      <c r="O45" s="25">
        <v>0.04</v>
      </c>
      <c r="P45">
        <v>1.2</v>
      </c>
      <c r="Q45" t="str">
        <f t="shared" si="4"/>
        <v>-</v>
      </c>
      <c r="R45">
        <v>-1E-3</v>
      </c>
      <c r="S45">
        <v>-0.6</v>
      </c>
      <c r="T45" s="25" t="str">
        <f t="shared" si="5"/>
        <v>-</v>
      </c>
    </row>
    <row r="46" spans="1:20">
      <c r="A46" s="11" t="s">
        <v>11</v>
      </c>
      <c r="B46" s="13">
        <v>0.8</v>
      </c>
      <c r="C46" s="25">
        <v>-0.03</v>
      </c>
      <c r="D46">
        <v>-1.3</v>
      </c>
      <c r="E46" t="str">
        <f t="shared" si="0"/>
        <v>-</v>
      </c>
      <c r="F46">
        <v>-7.0000000000000001E-3</v>
      </c>
      <c r="G46">
        <v>-5.6</v>
      </c>
      <c r="H46" s="25" t="str">
        <f t="shared" si="1"/>
        <v>-</v>
      </c>
      <c r="I46" s="1">
        <v>0.04</v>
      </c>
      <c r="J46">
        <v>0.8</v>
      </c>
      <c r="K46" t="str">
        <f t="shared" si="2"/>
        <v>-</v>
      </c>
      <c r="L46">
        <v>-1.6E-2</v>
      </c>
      <c r="M46">
        <v>-7</v>
      </c>
      <c r="N46" s="2" t="str">
        <f t="shared" si="3"/>
        <v>-</v>
      </c>
      <c r="O46" s="25">
        <v>0.01</v>
      </c>
      <c r="P46">
        <v>0.2</v>
      </c>
      <c r="Q46" t="str">
        <f t="shared" si="4"/>
        <v>-</v>
      </c>
      <c r="R46">
        <v>2E-3</v>
      </c>
      <c r="S46">
        <v>0.9</v>
      </c>
      <c r="T46" s="25" t="str">
        <f t="shared" si="5"/>
        <v>-</v>
      </c>
    </row>
    <row r="47" spans="1:20">
      <c r="A47" s="11" t="s">
        <v>12</v>
      </c>
      <c r="B47" s="13">
        <v>0.8</v>
      </c>
      <c r="C47" s="25">
        <v>0</v>
      </c>
      <c r="D47">
        <v>0</v>
      </c>
      <c r="E47" t="str">
        <f t="shared" si="0"/>
        <v>-</v>
      </c>
      <c r="F47">
        <v>1E-3</v>
      </c>
      <c r="G47">
        <v>0.4</v>
      </c>
      <c r="H47" s="25" t="str">
        <f t="shared" si="1"/>
        <v>-</v>
      </c>
      <c r="I47" s="1">
        <v>-0.2</v>
      </c>
      <c r="J47">
        <v>-2.8</v>
      </c>
      <c r="K47" t="str">
        <f t="shared" si="2"/>
        <v>-</v>
      </c>
      <c r="L47">
        <v>-4.0000000000000001E-3</v>
      </c>
      <c r="M47">
        <v>-1.5</v>
      </c>
      <c r="N47" s="2" t="str">
        <f t="shared" si="3"/>
        <v>-</v>
      </c>
      <c r="O47" s="25">
        <v>-0.22</v>
      </c>
      <c r="P47">
        <v>-3</v>
      </c>
      <c r="Q47" t="str">
        <f t="shared" si="4"/>
        <v>-</v>
      </c>
      <c r="R47">
        <v>-4.0000000000000001E-3</v>
      </c>
      <c r="S47">
        <v>-1.6</v>
      </c>
      <c r="T47" s="25" t="str">
        <f t="shared" si="5"/>
        <v>-</v>
      </c>
    </row>
    <row r="48" spans="1:20">
      <c r="A48" s="11" t="s">
        <v>13</v>
      </c>
      <c r="B48" s="13">
        <v>0.8</v>
      </c>
      <c r="C48" s="25">
        <v>-0.06</v>
      </c>
      <c r="D48">
        <v>-1.5</v>
      </c>
      <c r="E48" t="str">
        <f t="shared" si="0"/>
        <v>-</v>
      </c>
      <c r="F48">
        <v>4.0000000000000001E-3</v>
      </c>
      <c r="G48">
        <v>5.4</v>
      </c>
      <c r="H48" s="25" t="str">
        <f t="shared" si="1"/>
        <v>-</v>
      </c>
      <c r="I48" s="1">
        <v>0.04</v>
      </c>
      <c r="J48">
        <v>0.8</v>
      </c>
      <c r="K48" t="str">
        <f t="shared" si="2"/>
        <v>-</v>
      </c>
      <c r="L48">
        <v>0</v>
      </c>
      <c r="M48">
        <v>0</v>
      </c>
      <c r="N48" s="2" t="str">
        <f t="shared" si="3"/>
        <v>-</v>
      </c>
      <c r="O48" s="25">
        <v>0.09</v>
      </c>
      <c r="P48">
        <v>1.8</v>
      </c>
      <c r="Q48" t="str">
        <f t="shared" si="4"/>
        <v>-</v>
      </c>
      <c r="R48">
        <v>3.0000000000000001E-3</v>
      </c>
      <c r="S48">
        <v>3.7</v>
      </c>
      <c r="T48" s="25" t="str">
        <f t="shared" si="5"/>
        <v>-</v>
      </c>
    </row>
    <row r="49" spans="1:21">
      <c r="A49" s="11" t="s">
        <v>9</v>
      </c>
      <c r="B49" s="13">
        <v>0.9</v>
      </c>
      <c r="C49" s="25">
        <v>0.01</v>
      </c>
      <c r="D49">
        <v>0.1</v>
      </c>
      <c r="E49" t="str">
        <f t="shared" si="0"/>
        <v>-</v>
      </c>
      <c r="F49">
        <v>2E-3</v>
      </c>
      <c r="G49">
        <v>0.9</v>
      </c>
      <c r="H49" s="25" t="str">
        <f t="shared" si="1"/>
        <v>-</v>
      </c>
      <c r="I49" s="1">
        <v>0.01</v>
      </c>
      <c r="J49">
        <v>0.1</v>
      </c>
      <c r="K49" t="str">
        <f t="shared" si="2"/>
        <v>-</v>
      </c>
      <c r="L49">
        <v>-4.0000000000000001E-3</v>
      </c>
      <c r="M49">
        <v>-1.8</v>
      </c>
      <c r="N49" s="2" t="str">
        <f t="shared" si="3"/>
        <v>-</v>
      </c>
      <c r="O49" s="25">
        <v>0.04</v>
      </c>
      <c r="P49">
        <v>0.5</v>
      </c>
      <c r="Q49" t="str">
        <f t="shared" si="4"/>
        <v>-</v>
      </c>
      <c r="R49">
        <v>2E-3</v>
      </c>
      <c r="S49">
        <v>0.9</v>
      </c>
      <c r="T49" s="25" t="str">
        <f t="shared" si="5"/>
        <v>-</v>
      </c>
    </row>
    <row r="50" spans="1:21">
      <c r="A50" s="11" t="s">
        <v>11</v>
      </c>
      <c r="B50" s="13">
        <v>0.9</v>
      </c>
      <c r="C50" s="25">
        <v>0.05</v>
      </c>
      <c r="D50">
        <v>0.5</v>
      </c>
      <c r="E50" t="str">
        <f t="shared" si="0"/>
        <v>-</v>
      </c>
      <c r="F50">
        <v>-7.0000000000000001E-3</v>
      </c>
      <c r="G50">
        <v>-3</v>
      </c>
      <c r="H50" s="25" t="str">
        <f t="shared" si="1"/>
        <v>-</v>
      </c>
      <c r="I50" s="1">
        <v>0.02</v>
      </c>
      <c r="J50">
        <v>0.2</v>
      </c>
      <c r="K50" t="str">
        <f t="shared" si="2"/>
        <v>-</v>
      </c>
      <c r="L50">
        <v>0</v>
      </c>
      <c r="M50">
        <v>0</v>
      </c>
      <c r="N50" s="2" t="str">
        <f t="shared" si="3"/>
        <v>-</v>
      </c>
      <c r="O50" s="25">
        <v>0.03</v>
      </c>
      <c r="P50">
        <v>0.3</v>
      </c>
      <c r="Q50" t="str">
        <f t="shared" si="4"/>
        <v>-</v>
      </c>
      <c r="R50">
        <v>-3.0000000000000001E-3</v>
      </c>
      <c r="S50">
        <v>-1.4</v>
      </c>
      <c r="T50" s="25" t="str">
        <f t="shared" si="5"/>
        <v>-</v>
      </c>
    </row>
    <row r="51" spans="1:21">
      <c r="A51" s="11" t="s">
        <v>12</v>
      </c>
      <c r="B51" s="13">
        <v>0.9</v>
      </c>
      <c r="C51" s="25">
        <v>0.04</v>
      </c>
      <c r="D51">
        <v>0.5</v>
      </c>
      <c r="E51" t="str">
        <f t="shared" si="0"/>
        <v>-</v>
      </c>
      <c r="F51">
        <v>-1E-3</v>
      </c>
      <c r="G51">
        <v>-0.7</v>
      </c>
      <c r="H51" s="25" t="str">
        <f t="shared" si="1"/>
        <v>-</v>
      </c>
      <c r="I51" s="1">
        <v>0.01</v>
      </c>
      <c r="J51">
        <v>0.1</v>
      </c>
      <c r="K51" t="str">
        <f t="shared" si="2"/>
        <v>-</v>
      </c>
      <c r="L51">
        <v>2E-3</v>
      </c>
      <c r="M51">
        <v>1.5</v>
      </c>
      <c r="N51" s="2" t="str">
        <f t="shared" si="3"/>
        <v>-</v>
      </c>
      <c r="O51" s="25">
        <v>-0.02</v>
      </c>
      <c r="P51">
        <v>-0.2</v>
      </c>
      <c r="Q51" t="str">
        <f t="shared" si="4"/>
        <v>-</v>
      </c>
      <c r="R51">
        <v>3.0000000000000001E-3</v>
      </c>
      <c r="S51">
        <v>2.2000000000000002</v>
      </c>
      <c r="T51" s="25" t="str">
        <f t="shared" si="5"/>
        <v>-</v>
      </c>
    </row>
    <row r="52" spans="1:21">
      <c r="A52" s="11" t="s">
        <v>13</v>
      </c>
      <c r="B52" s="13">
        <v>0.9</v>
      </c>
      <c r="C52" s="25">
        <v>0.02</v>
      </c>
      <c r="D52">
        <v>0.3</v>
      </c>
      <c r="E52" t="str">
        <f t="shared" si="0"/>
        <v>-</v>
      </c>
      <c r="F52">
        <v>-1E-3</v>
      </c>
      <c r="G52">
        <v>-0.6</v>
      </c>
      <c r="H52" s="25" t="str">
        <f t="shared" si="1"/>
        <v>-</v>
      </c>
      <c r="I52" s="1">
        <v>0.05</v>
      </c>
      <c r="J52">
        <v>0.7</v>
      </c>
      <c r="K52" t="str">
        <f t="shared" si="2"/>
        <v>-</v>
      </c>
      <c r="L52">
        <v>1E-3</v>
      </c>
      <c r="M52">
        <v>0.4</v>
      </c>
      <c r="N52" s="2" t="str">
        <f t="shared" si="3"/>
        <v>-</v>
      </c>
      <c r="O52" s="25">
        <v>0.09</v>
      </c>
      <c r="P52">
        <v>1.3</v>
      </c>
      <c r="Q52" t="str">
        <f t="shared" si="4"/>
        <v>-</v>
      </c>
      <c r="R52">
        <v>0</v>
      </c>
      <c r="S52">
        <v>0</v>
      </c>
      <c r="T52" s="25" t="str">
        <f t="shared" si="5"/>
        <v>-</v>
      </c>
    </row>
    <row r="53" spans="1:21" s="8" customFormat="1">
      <c r="A53" s="14"/>
      <c r="B53" s="15"/>
      <c r="I53" s="10"/>
      <c r="N53" s="9"/>
      <c r="U53" s="10"/>
    </row>
    <row r="56" spans="1:21">
      <c r="B56" s="4" t="s">
        <v>19</v>
      </c>
      <c r="C56" s="25">
        <f>AVERAGE(C$5:C$52)</f>
        <v>3.1250000000000006E-3</v>
      </c>
      <c r="D56">
        <f>AVERAGE(D$5:D$52)</f>
        <v>0.71874999999999989</v>
      </c>
      <c r="F56">
        <f>AVERAGE(F$5:F$52)</f>
        <v>1.3124999999999996E-3</v>
      </c>
      <c r="G56">
        <f>AVERAGE(G$5:G$52)</f>
        <v>1.8062500000000004</v>
      </c>
      <c r="I56" s="1">
        <f>AVERAGE(I$5:I$52)</f>
        <v>1.2499999999999994E-3</v>
      </c>
      <c r="J56">
        <f>AVERAGE(J$5:J$52)</f>
        <v>0.64375000000000016</v>
      </c>
      <c r="L56">
        <f>AVERAGE(L$5:L$52)</f>
        <v>-5.4166666666666675E-4</v>
      </c>
      <c r="M56">
        <f>AVERAGE(M$5:M$52)</f>
        <v>-0.34375000000000006</v>
      </c>
      <c r="O56" s="25">
        <f>AVERAGE(O$5:O$52)</f>
        <v>6.2499999999999969E-4</v>
      </c>
      <c r="P56">
        <f>AVERAGE(P$5:P$52)</f>
        <v>0.34166666666666656</v>
      </c>
      <c r="R56">
        <f>AVERAGE(R$5:R$52)</f>
        <v>5.2083333333333354E-4</v>
      </c>
      <c r="S56">
        <f>AVERAGE(S$5:S$52)</f>
        <v>0.37083333333333335</v>
      </c>
    </row>
    <row r="57" spans="1:21">
      <c r="B57" s="4" t="s">
        <v>20</v>
      </c>
      <c r="C57" s="25">
        <f>MEDIAN(C$5:C$52)</f>
        <v>0</v>
      </c>
      <c r="D57">
        <f>MEDIAN(D$5:D$52)</f>
        <v>0</v>
      </c>
      <c r="F57">
        <f>MEDIAN(F$5:F$52)</f>
        <v>0</v>
      </c>
      <c r="G57">
        <f>MEDIAN(G$5:G$52)</f>
        <v>0</v>
      </c>
      <c r="I57" s="1">
        <f>MEDIAN(I$5:I$52)</f>
        <v>0.01</v>
      </c>
      <c r="J57">
        <f>MEDIAN(J$5:J$52)</f>
        <v>0.15000000000000002</v>
      </c>
      <c r="L57">
        <f>MEDIAN(L$5:L$52)</f>
        <v>0</v>
      </c>
      <c r="M57">
        <f>MEDIAN(M$5:M$52)</f>
        <v>0</v>
      </c>
      <c r="O57" s="25">
        <f>MEDIAN(O$5:O$52)</f>
        <v>0</v>
      </c>
      <c r="P57">
        <f>MEDIAN(P$5:P$52)</f>
        <v>0</v>
      </c>
      <c r="R57">
        <f>MEDIAN(R$5:R$52)</f>
        <v>0</v>
      </c>
      <c r="S57">
        <f>MEDIAN(S$5:S$52)</f>
        <v>0</v>
      </c>
    </row>
    <row r="58" spans="1:21">
      <c r="B58" s="4" t="s">
        <v>21</v>
      </c>
      <c r="C58" s="25">
        <f>STDEV(C$5:C$52)</f>
        <v>5.1121725822431213E-2</v>
      </c>
      <c r="D58">
        <f>STDEV(D$5:D$52)</f>
        <v>4.4076170167061299</v>
      </c>
      <c r="F58">
        <f>STDEV(F$5:F$52)</f>
        <v>5.5740899457583431E-3</v>
      </c>
      <c r="G58">
        <f>STDEV(G$5:G$52)</f>
        <v>6.6515205828314015</v>
      </c>
      <c r="I58" s="1">
        <f>STDEV(I$5:I$52)</f>
        <v>6.6159864416234018E-2</v>
      </c>
      <c r="J58">
        <f>STDEV(J$5:J$52)</f>
        <v>3.251834588580631</v>
      </c>
      <c r="L58">
        <f>STDEV(L$5:L$52)</f>
        <v>4.0944089191436561E-3</v>
      </c>
      <c r="M58">
        <f>STDEV(M$5:M$52)</f>
        <v>3.1233442422056439</v>
      </c>
      <c r="O58" s="25">
        <f>STDEV(O$5:O$52)</f>
        <v>6.5895024511105141E-2</v>
      </c>
      <c r="P58">
        <f>STDEV(P$5:P$52)</f>
        <v>4.0853570032460604</v>
      </c>
      <c r="R58">
        <f>STDEV(R$5:R$52)</f>
        <v>4.2526066265959018E-3</v>
      </c>
      <c r="S58">
        <f>STDEV(S$5:S$52)</f>
        <v>4.9817948715140776</v>
      </c>
    </row>
    <row r="59" spans="1:21">
      <c r="B59" s="4" t="s">
        <v>22</v>
      </c>
      <c r="C59" s="25">
        <f>COUNTIF(C$5:C$52, "&lt;0")</f>
        <v>18</v>
      </c>
      <c r="D59">
        <f>COUNTIF(D$5:D$52, "&lt;0")</f>
        <v>18</v>
      </c>
      <c r="F59">
        <f>COUNTIF(F$5:F$52, "&lt;0")</f>
        <v>17</v>
      </c>
      <c r="G59">
        <f>COUNTIF(G$5:G$52, "&lt;0")</f>
        <v>17</v>
      </c>
      <c r="I59" s="1">
        <f>COUNTIF(I$5:I$52, "&lt;0")</f>
        <v>10</v>
      </c>
      <c r="J59">
        <f>COUNTIF(J$5:J$52, "&lt;0")</f>
        <v>10</v>
      </c>
      <c r="L59">
        <f>COUNTIF(L$5:L$52, "&lt;0")</f>
        <v>19</v>
      </c>
      <c r="M59">
        <f>COUNTIF(M$5:M$52, "&lt;0")</f>
        <v>19</v>
      </c>
      <c r="O59" s="25">
        <f>COUNTIF(O$5:O$52, "&lt;0")</f>
        <v>15</v>
      </c>
      <c r="P59">
        <f>COUNTIF(P$5:P$52, "&lt;0")</f>
        <v>15</v>
      </c>
      <c r="R59">
        <f>COUNTIF(R$5:R$52, "&lt;0")</f>
        <v>13</v>
      </c>
      <c r="S59">
        <f>COUNTIF(S$5:S$52, "&lt;0")</f>
        <v>13</v>
      </c>
    </row>
    <row r="62" spans="1:21">
      <c r="B62" s="24" t="s">
        <v>23</v>
      </c>
    </row>
    <row r="63" spans="1:21">
      <c r="B63" s="4" t="s">
        <v>19</v>
      </c>
      <c r="C63" s="25">
        <f>AVERAGE(C$5:C$28)</f>
        <v>2.0833333333333329E-3</v>
      </c>
      <c r="D63">
        <f>AVERAGE(D$5:D$28)</f>
        <v>0.88333333333333319</v>
      </c>
      <c r="F63">
        <f>AVERAGE(F$5:F$28)</f>
        <v>1.7916666666666665E-3</v>
      </c>
      <c r="G63">
        <f>AVERAGE(G$5:G$28)</f>
        <v>2.5124999999999997</v>
      </c>
      <c r="I63" s="1">
        <f>AVERAGE(I$5:I$28)</f>
        <v>-5.0000000000000018E-3</v>
      </c>
      <c r="J63">
        <f>AVERAGE(J$5:J$28)</f>
        <v>8.7499999999999953E-2</v>
      </c>
      <c r="L63">
        <f>AVERAGE(L$5:L$28)</f>
        <v>5.0000000000000001E-4</v>
      </c>
      <c r="M63">
        <f>AVERAGE(M$5:M$28)</f>
        <v>0.52499999999999991</v>
      </c>
      <c r="O63" s="25">
        <f>AVERAGE(O$5:O$28)</f>
        <v>-5.0000000000000001E-3</v>
      </c>
      <c r="P63">
        <f>AVERAGE(P$5:P$28)</f>
        <v>-0.32916666666666666</v>
      </c>
      <c r="R63">
        <f>AVERAGE(R$5:R$28)</f>
        <v>3.3333333333333332E-4</v>
      </c>
      <c r="S63">
        <f>AVERAGE(S$5:S$28)</f>
        <v>0.1166666666666667</v>
      </c>
    </row>
    <row r="64" spans="1:21">
      <c r="B64" s="4" t="s">
        <v>20</v>
      </c>
      <c r="C64" s="25">
        <f>MEDIAN(C$5:C$28)</f>
        <v>0</v>
      </c>
      <c r="D64">
        <f>MEDIAN(D$5:D$28)</f>
        <v>0</v>
      </c>
      <c r="F64">
        <f>MEDIAN(F$5:F$28)</f>
        <v>1E-3</v>
      </c>
      <c r="G64">
        <f>MEDIAN(G$5:G$28)</f>
        <v>0.5</v>
      </c>
      <c r="I64" s="1">
        <f>MEDIAN(I$5:I$28)</f>
        <v>0</v>
      </c>
      <c r="J64">
        <f>MEDIAN(J$5:J$28)</f>
        <v>0</v>
      </c>
      <c r="L64">
        <f>MEDIAN(L$5:L$28)</f>
        <v>0</v>
      </c>
      <c r="M64">
        <f>MEDIAN(M$5:M$28)</f>
        <v>0</v>
      </c>
      <c r="O64" s="25">
        <f>MEDIAN(O$5:O$28)</f>
        <v>0</v>
      </c>
      <c r="P64">
        <f>MEDIAN(P$5:P$28)</f>
        <v>0</v>
      </c>
      <c r="R64">
        <f>MEDIAN(R$5:R$28)</f>
        <v>0</v>
      </c>
      <c r="S64">
        <f>MEDIAN(S$5:S$28)</f>
        <v>0</v>
      </c>
    </row>
    <row r="65" spans="2:20">
      <c r="B65" s="4" t="s">
        <v>21</v>
      </c>
      <c r="C65" s="25">
        <f>STDEV(C$5:C$28)</f>
        <v>5.8008932345666023E-2</v>
      </c>
      <c r="D65">
        <f>STDEV(D$5:D$28)</f>
        <v>5.2628861867318344</v>
      </c>
      <c r="F65">
        <f>STDEV(F$5:F$28)</f>
        <v>6.2483331110518318E-3</v>
      </c>
      <c r="G65">
        <f>STDEV(G$5:G$28)</f>
        <v>8.3079486559297653</v>
      </c>
      <c r="I65" s="1">
        <f>STDEV(I$5:I$28)</f>
        <v>5.9563630572325943E-2</v>
      </c>
      <c r="J65">
        <f>STDEV(J$5:J$28)</f>
        <v>2.338210482584826</v>
      </c>
      <c r="L65">
        <f>STDEV(L$5:L$28)</f>
        <v>3.0927685641354333E-3</v>
      </c>
      <c r="M65">
        <f>STDEV(M$5:M$28)</f>
        <v>2.7240075975122293</v>
      </c>
      <c r="O65" s="25">
        <f>STDEV(O$5:O$28)</f>
        <v>3.8334908600273249E-2</v>
      </c>
      <c r="P65">
        <f>STDEV(P$5:P$28)</f>
        <v>2.1519413210576541</v>
      </c>
      <c r="R65">
        <f>STDEV(R$5:R$28)</f>
        <v>3.2925035626624501E-3</v>
      </c>
      <c r="S65">
        <f>STDEV(S$5:S$28)</f>
        <v>3.4021306197180596</v>
      </c>
    </row>
    <row r="66" spans="2:20">
      <c r="B66" s="4" t="s">
        <v>22</v>
      </c>
      <c r="C66" s="25">
        <f>COUNTIF(C$5:C$28, "&lt;0")</f>
        <v>9</v>
      </c>
      <c r="D66">
        <f>COUNTIF(D$5:D$28, "&lt;0")</f>
        <v>9</v>
      </c>
      <c r="F66">
        <f>COUNTIF(F$5:F$28, "&lt;0")</f>
        <v>7</v>
      </c>
      <c r="G66">
        <f>COUNTIF(G$5:G$28, "&lt;0")</f>
        <v>7</v>
      </c>
      <c r="I66" s="1">
        <f>COUNTIF(I$5:I$28, "&lt;0")</f>
        <v>6</v>
      </c>
      <c r="J66">
        <f>COUNTIF(J$5:J$28, "&lt;0")</f>
        <v>6</v>
      </c>
      <c r="L66">
        <f>COUNTIF(L$5:L$28, "&lt;0")</f>
        <v>6</v>
      </c>
      <c r="M66">
        <f>COUNTIF(M$5:M$28, "&lt;0")</f>
        <v>6</v>
      </c>
      <c r="O66" s="25">
        <f>COUNTIF(O$5:O$28, "&lt;0")</f>
        <v>10</v>
      </c>
      <c r="P66">
        <f>COUNTIF(P$5:P$28, "&lt;0")</f>
        <v>10</v>
      </c>
      <c r="R66">
        <f>COUNTIF(R$5:R$28, "&lt;0")</f>
        <v>6</v>
      </c>
      <c r="S66">
        <f>COUNTIF(S$5:S$28, "&lt;0")</f>
        <v>6</v>
      </c>
    </row>
    <row r="69" spans="2:20">
      <c r="B69" s="24" t="s">
        <v>24</v>
      </c>
    </row>
    <row r="70" spans="2:20">
      <c r="B70" s="4" t="s">
        <v>19</v>
      </c>
      <c r="C70" s="25">
        <f>AVERAGE(C$29:C$52)</f>
        <v>4.1666666666666683E-3</v>
      </c>
      <c r="D70">
        <f>AVERAGE(D$29:D$52)</f>
        <v>0.55416666666666681</v>
      </c>
      <c r="F70">
        <f>AVERAGE(F$29:F$52)</f>
        <v>8.3333333333333317E-4</v>
      </c>
      <c r="G70">
        <f>AVERAGE(G$29:G$52)</f>
        <v>1.0999999999999999</v>
      </c>
      <c r="I70" s="1">
        <f>AVERAGE(I$29:I$52)</f>
        <v>7.5000000000000023E-3</v>
      </c>
      <c r="J70">
        <f>AVERAGE(J$29:J$52)</f>
        <v>1.2</v>
      </c>
      <c r="L70">
        <f>AVERAGE(L$29:L$52)</f>
        <v>-1.5833333333333335E-3</v>
      </c>
      <c r="M70">
        <f>AVERAGE(M$29:M$52)</f>
        <v>-1.2125000000000001</v>
      </c>
      <c r="O70" s="25">
        <f>AVERAGE(O$29:O$52)</f>
        <v>6.2500000000000012E-3</v>
      </c>
      <c r="P70">
        <f>AVERAGE(P$29:P$52)</f>
        <v>1.0125</v>
      </c>
      <c r="R70">
        <f>AVERAGE(R$29:R$52)</f>
        <v>7.0833333333333338E-4</v>
      </c>
      <c r="S70">
        <f>AVERAGE(S$29:S$52)</f>
        <v>0.62500000000000011</v>
      </c>
    </row>
    <row r="71" spans="2:20">
      <c r="B71" s="4" t="s">
        <v>20</v>
      </c>
      <c r="C71" s="25">
        <f>MEDIAN(C$29:C$52)</f>
        <v>5.0000000000000001E-3</v>
      </c>
      <c r="D71">
        <f>MEDIAN(D$29:D$52)</f>
        <v>0.05</v>
      </c>
      <c r="F71">
        <f>MEDIAN(F$29:F$52)</f>
        <v>0</v>
      </c>
      <c r="G71">
        <f>MEDIAN(G$29:G$52)</f>
        <v>0</v>
      </c>
      <c r="I71" s="1">
        <f>MEDIAN(I$29:I$52)</f>
        <v>0.01</v>
      </c>
      <c r="J71">
        <f>MEDIAN(J$29:J$52)</f>
        <v>0.25</v>
      </c>
      <c r="L71">
        <f>MEDIAN(L$29:L$52)</f>
        <v>-1E-3</v>
      </c>
      <c r="M71">
        <f>MEDIAN(M$29:M$52)</f>
        <v>-0.9</v>
      </c>
      <c r="O71" s="25">
        <f>MEDIAN(O$29:O$52)</f>
        <v>0.03</v>
      </c>
      <c r="P71">
        <f>MEDIAN(P$29:P$52)</f>
        <v>1.2</v>
      </c>
      <c r="R71">
        <f>MEDIAN(R$29:R$52)</f>
        <v>5.0000000000000001E-4</v>
      </c>
      <c r="S71">
        <f>MEDIAN(S$29:S$52)</f>
        <v>0.4</v>
      </c>
    </row>
    <row r="72" spans="2:20">
      <c r="B72" s="4" t="s">
        <v>21</v>
      </c>
      <c r="C72" s="25">
        <f>STDEV(C$29:C$52)</f>
        <v>4.4420585383323136E-2</v>
      </c>
      <c r="D72">
        <f>STDEV(D$29:D$52)</f>
        <v>3.4560569599103728</v>
      </c>
      <c r="F72">
        <f>STDEV(F$29:F$52)</f>
        <v>4.896020270868333E-3</v>
      </c>
      <c r="G72">
        <f>STDEV(G$29:G$52)</f>
        <v>4.5106636935734574</v>
      </c>
      <c r="I72" s="1">
        <f>STDEV(I$29:I$52)</f>
        <v>7.290553745295586E-2</v>
      </c>
      <c r="J72">
        <f>STDEV(J$29:J$52)</f>
        <v>3.9364517238133434</v>
      </c>
      <c r="L72">
        <f>STDEV(L$29:L$52)</f>
        <v>4.7357719784512486E-3</v>
      </c>
      <c r="M72">
        <f>STDEV(M$29:M$52)</f>
        <v>3.3074767079925214</v>
      </c>
      <c r="O72" s="25">
        <f>STDEV(O$29:O$52)</f>
        <v>8.5659208495059078E-2</v>
      </c>
      <c r="P72">
        <f>STDEV(P$29:P$52)</f>
        <v>5.3419026491544646</v>
      </c>
      <c r="R72">
        <f>STDEV(R$29:R$52)</f>
        <v>5.1031036307982872E-3</v>
      </c>
      <c r="S72">
        <f>STDEV(S$29:S$52)</f>
        <v>6.2455027297909407</v>
      </c>
    </row>
    <row r="73" spans="2:20">
      <c r="B73" s="4" t="s">
        <v>22</v>
      </c>
      <c r="C73" s="25">
        <f>COUNTIF(C$29:C$52, "&lt;0")</f>
        <v>9</v>
      </c>
      <c r="D73">
        <f>COUNTIF(D$29:D$52, "&lt;0")</f>
        <v>9</v>
      </c>
      <c r="F73">
        <f>COUNTIF(F$29:F$52, "&lt;0")</f>
        <v>10</v>
      </c>
      <c r="G73">
        <f>COUNTIF(G$29:G$52, "&lt;0")</f>
        <v>10</v>
      </c>
      <c r="I73" s="1">
        <f>COUNTIF(I$29:I$52, "&lt;0")</f>
        <v>4</v>
      </c>
      <c r="J73">
        <f>COUNTIF(J$29:J$52, "&lt;0")</f>
        <v>4</v>
      </c>
      <c r="L73">
        <f>COUNTIF(L$29:L$52, "&lt;0")</f>
        <v>13</v>
      </c>
      <c r="M73">
        <f>COUNTIF(M$29:M$52, "&lt;0")</f>
        <v>13</v>
      </c>
      <c r="O73" s="25">
        <f>COUNTIF(O$29:O$52, "&lt;0")</f>
        <v>5</v>
      </c>
      <c r="P73">
        <f>COUNTIF(P$29:P$52, "&lt;0")</f>
        <v>5</v>
      </c>
      <c r="R73">
        <f>COUNTIF(R$29:R$52, "&lt;0")</f>
        <v>7</v>
      </c>
      <c r="S73">
        <f>COUNTIF(S$29:S$52, "&lt;0")</f>
        <v>7</v>
      </c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1.6666666666666674E-3</v>
      </c>
      <c r="D77">
        <f>AVERAGE(D$5:D$52,J$5:J$52,P$5:P$52)</f>
        <v>0.56805555555555565</v>
      </c>
      <c r="F77">
        <f>AVERAGE(F$5:F$52,L$5:L$52,R$5:R$52)</f>
        <v>4.3055555555555566E-4</v>
      </c>
      <c r="G77">
        <f>AVERAGE(G$5:G$52,M$5:M$52,S$5:S$52)</f>
        <v>0.61111111111111116</v>
      </c>
    </row>
    <row r="78" spans="2:20">
      <c r="B78" s="4" t="s">
        <v>20</v>
      </c>
      <c r="C78" s="25">
        <f>MEDIAN(C$5:C$52,I$5:I$52,O$5:O$52)</f>
        <v>0</v>
      </c>
      <c r="D78">
        <f>MEDIAN(D$5:D$52,J$5:J$52,P$5:P$52)</f>
        <v>0</v>
      </c>
      <c r="F78">
        <f>MEDIAN(F$5:F$52,L$5:L$52,R$5:R$52)</f>
        <v>0</v>
      </c>
      <c r="G78">
        <f>MEDIAN(G$5:G$52,M$5:M$52,S$5:S$52)</f>
        <v>0</v>
      </c>
    </row>
    <row r="79" spans="2:20">
      <c r="B79" s="4" t="s">
        <v>21</v>
      </c>
      <c r="C79" s="25">
        <f>STDEV(C$5:C$52,I$5:I$52,O$5:O$52)</f>
        <v>6.1039938776788795E-2</v>
      </c>
      <c r="D79">
        <f>STDEV(D$5:D$52,J$5:J$52,P$5:P$52)</f>
        <v>3.9208364452573674</v>
      </c>
      <c r="F79">
        <f>STDEV(F$5:F$52,L$5:L$52,R$5:R$52)</f>
        <v>4.7166611068521769E-3</v>
      </c>
      <c r="G79">
        <f>STDEV(G$5:G$52,M$5:M$52,S$5:S$52)</f>
        <v>5.1681259688136496</v>
      </c>
    </row>
    <row r="80" spans="2:20">
      <c r="B80" s="4" t="s">
        <v>22</v>
      </c>
      <c r="C80" s="25">
        <f>COUNTIF(C$5:C$52, "&lt;0")+COUNTIF(I$5:I$52, "&lt;0")+COUNTIF(O$5:O$52, "&lt;0")</f>
        <v>43</v>
      </c>
      <c r="D80">
        <f>COUNTIF(D$5:D$52, "&lt;0")+COUNTIF(J$5:J$52, "&lt;0")+COUNTIF(P$5:P$52, "&lt;0")</f>
        <v>43</v>
      </c>
      <c r="F80">
        <f>COUNTIF(F$5:F$52, "&lt;0")+COUNTIF(L$5:L$52, "&lt;0")+COUNTIF(R$5:R$52, "&lt;0")</f>
        <v>49</v>
      </c>
      <c r="G80">
        <f>COUNTIF(G$5:G$52, "&lt;0")+COUNTIF(M$5:M$52, "&lt;0")+COUNTIF(S$5:S$52, "&lt;0")</f>
        <v>49</v>
      </c>
    </row>
    <row r="82" spans="2:20">
      <c r="C82" s="27" t="s">
        <v>27</v>
      </c>
    </row>
    <row r="83" spans="2:20">
      <c r="B83" s="4" t="s">
        <v>19</v>
      </c>
      <c r="C83" s="25" cm="1">
        <f t="array" ref="C83">AVERAGE(ABS(C$5:C$52),ABS(I$5:I$52),ABS(O$5:O$52))</f>
        <v>3.7916666666666626E-2</v>
      </c>
      <c r="D83" cm="1">
        <f t="array" ref="D83">AVERAGE(ABS(D$5:D$52),ABS(J$5:J$52),ABS(P$5:P$52))</f>
        <v>2.2791666666666663</v>
      </c>
      <c r="F83" cm="1">
        <f t="array" ref="F83">AVERAGE(ABS(F$5:F$52),ABS(L$5:L$52),ABS(R$5:R$52))</f>
        <v>3.0138888888888906E-3</v>
      </c>
      <c r="G83" cm="1">
        <f t="array" ref="G83">AVERAGE(ABS(G$5:G$52),ABS(M$5:M$52),ABS(S$5:S$52))</f>
        <v>2.7847222222222205</v>
      </c>
    </row>
    <row r="84" spans="2:20">
      <c r="B84" s="4" t="s">
        <v>20</v>
      </c>
      <c r="C84" s="25" cm="1">
        <f t="array" ref="C84">MEDIAN(ABS(C$5:C$52),ABS(I$5:I$52),ABS(O$5:O$52))</f>
        <v>0.02</v>
      </c>
      <c r="D84" cm="1">
        <f t="array" ref="D84">MEDIAN(ABS(D$5:D$52),ABS(J$5:J$52),ABS(P$5:P$52))</f>
        <v>1.1000000000000001</v>
      </c>
      <c r="F84" cm="1">
        <f t="array" ref="F84">MEDIAN(ABS(F$5:F$52),ABS(L$5:L$52),ABS(R$5:R$52))</f>
        <v>2E-3</v>
      </c>
      <c r="G84" cm="1">
        <f t="array" ref="G84">MEDIAN(ABS(G$5:G$52),ABS(M$5:M$52),ABS(S$5:S$52))</f>
        <v>1.3</v>
      </c>
    </row>
    <row r="85" spans="2:20">
      <c r="B85" s="4" t="s">
        <v>21</v>
      </c>
      <c r="C85" s="25" cm="1">
        <f t="array" ref="C85">STDEV(ABS(C$5:C$52),ABS(I$5:I$52),ABS(O$5:O$52))</f>
        <v>4.7759230060209906E-2</v>
      </c>
      <c r="D85" cm="1">
        <f t="array" ref="D85">STDEV(ABS(D$5:D$52),ABS(J$5:J$52),ABS(P$5:P$52))</f>
        <v>3.2352705488838991</v>
      </c>
      <c r="F85" cm="1">
        <f t="array" ref="F85">STDEV(ABS(F$5:F$52),ABS(L$5:L$52),ABS(R$5:R$52))</f>
        <v>3.6450677684398448E-3</v>
      </c>
      <c r="G85" cm="1">
        <f t="array" ref="G85">STDEV(ABS(G$5:G$52),ABS(M$5:M$52),ABS(S$5:S$52))</f>
        <v>4.3905225240497323</v>
      </c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-2.6388888888888898E-3</v>
      </c>
      <c r="D89">
        <f>AVERAGE(D$5:D$28,J$5:J$28,P$5:P$28)</f>
        <v>0.21388888888888882</v>
      </c>
      <c r="F89">
        <f>AVERAGE(F$5:F$28,L$5:L$28,R$5:R$28)</f>
        <v>8.7500000000000024E-4</v>
      </c>
      <c r="G89">
        <f>AVERAGE(G$5:G$28,M$5:M$28,S$5:S$28)</f>
        <v>1.0513888888888887</v>
      </c>
    </row>
    <row r="90" spans="2:20">
      <c r="B90" s="4" t="s">
        <v>20</v>
      </c>
      <c r="C90" s="25">
        <f>MEDIAN(C$5:C$28,I$5:I$28,O$5:O$28)</f>
        <v>0</v>
      </c>
      <c r="D90">
        <f>MEDIAN(D$5:D$28,J$5:J$28,P$5:P$28)</f>
        <v>0</v>
      </c>
      <c r="F90">
        <f>MEDIAN(F$5:F$28,L$5:L$28,R$5:R$28)</f>
        <v>0</v>
      </c>
      <c r="G90">
        <f>MEDIAN(G$5:G$28,M$5:M$28,S$5:S$28)</f>
        <v>0</v>
      </c>
    </row>
    <row r="91" spans="2:20">
      <c r="B91" s="4" t="s">
        <v>21</v>
      </c>
      <c r="C91" s="25">
        <f>STDEV(C$5:C$28,I$5:I$28,O$5:O$28)</f>
        <v>5.2218205652482405E-2</v>
      </c>
      <c r="D91">
        <f>STDEV(D$5:D$28,J$5:J$28,P$5:P$28)</f>
        <v>3.5355859149691615</v>
      </c>
      <c r="F91">
        <f>STDEV(F$5:F$28,L$5:L$28,R$5:R$28)</f>
        <v>4.4371590327246706E-3</v>
      </c>
      <c r="G91">
        <f>STDEV(G$5:G$28,M$5:M$28,S$5:S$28)</f>
        <v>5.442710412594792</v>
      </c>
    </row>
    <row r="92" spans="2:20">
      <c r="B92" s="4" t="s">
        <v>22</v>
      </c>
      <c r="C92" s="25">
        <f>COUNTIF(C$5:C$28, "&lt;0")+COUNTIF(I$5:I$28, "&lt;0")+COUNTIF(O$5:O$28, "&lt;0")</f>
        <v>25</v>
      </c>
      <c r="D92">
        <f>COUNTIF(D$5:D$28, "&lt;0")+COUNTIF(J$5:J$28, "&lt;0")+COUNTIF(P$5:P$28, "&lt;0")</f>
        <v>25</v>
      </c>
      <c r="F92">
        <f>COUNTIF(F$5:F$28, "&lt;0")+COUNTIF(L$5:L$28, "&lt;0")+COUNTIF(R$5:R$28, "&lt;0")</f>
        <v>19</v>
      </c>
      <c r="G92">
        <f>COUNTIF(G$5:G$28, "&lt;0")+COUNTIF(M$5:M$28, "&lt;0")+COUNTIF(S$5:S$28, "&lt;0")</f>
        <v>19</v>
      </c>
    </row>
    <row r="94" spans="2:20">
      <c r="C94" s="27" t="s">
        <v>27</v>
      </c>
    </row>
    <row r="95" spans="2:20">
      <c r="B95" s="4" t="s">
        <v>19</v>
      </c>
      <c r="C95" s="25" cm="1">
        <f t="array" ref="C95">AVERAGE(ABS(C$5:C$28),ABS(I$5:I$28),ABS(O$5:O$28))</f>
        <v>2.9861111111111116E-2</v>
      </c>
      <c r="D95" cm="1">
        <f t="array" ref="D95">AVERAGE(ABS(D$5:D$28),ABS(J$5:J$28),ABS(P$5:P$28))</f>
        <v>1.9333333333333331</v>
      </c>
      <c r="F95" cm="1">
        <f t="array" ref="F95">AVERAGE(ABS(F$5:F$28),ABS(L$5:L$28),ABS(R$5:R$28))</f>
        <v>2.7083333333333347E-3</v>
      </c>
      <c r="G95" cm="1">
        <f t="array" ref="G95">AVERAGE(ABS(G$5:G$28),ABS(M$5:M$28),ABS(S$5:S$28))</f>
        <v>2.6291666666666664</v>
      </c>
    </row>
    <row r="96" spans="2:20">
      <c r="B96" s="4" t="s">
        <v>20</v>
      </c>
      <c r="C96" s="25" cm="1">
        <f t="array" ref="C96">MEDIAN(ABS(C$5:C$28),ABS(I$5:I$28),ABS(O$5:O$28))</f>
        <v>0.01</v>
      </c>
      <c r="D96" cm="1">
        <f t="array" ref="D96">MEDIAN(ABS(D$5:D$28),ABS(J$5:J$28),ABS(P$5:P$28))</f>
        <v>0.95</v>
      </c>
      <c r="F96" cm="1">
        <f t="array" ref="F96">MEDIAN(ABS(F$5:F$28),ABS(L$5:L$28),ABS(R$5:R$28))</f>
        <v>1E-3</v>
      </c>
      <c r="G96" cm="1">
        <f t="array" ref="G96">MEDIAN(ABS(G$5:G$28),ABS(M$5:M$28),ABS(S$5:S$28))</f>
        <v>1</v>
      </c>
    </row>
    <row r="97" spans="2:20">
      <c r="B97" s="4" t="s">
        <v>21</v>
      </c>
      <c r="C97" s="25" cm="1">
        <f t="array" ref="C97">STDEV(ABS(C$5:C$28),ABS(I$5:I$28),ABS(O$5:O$28))</f>
        <v>4.2773331679603774E-2</v>
      </c>
      <c r="D97" cm="1">
        <f t="array" ref="D97">STDEV(ABS(D$5:D$28),ABS(J$5:J$28),ABS(P$5:P$28))</f>
        <v>2.9591110199127399</v>
      </c>
      <c r="F97" cm="1">
        <f t="array" ref="F97">STDEV(ABS(F$5:F$28),ABS(L$5:L$28),ABS(R$5:R$28))</f>
        <v>3.6092116106851112E-3</v>
      </c>
      <c r="G97" cm="1">
        <f t="array" ref="G97">STDEV(ABS(G$5:G$28),ABS(M$5:M$28),ABS(S$5:S$28))</f>
        <v>4.8717766519493564</v>
      </c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5.9722222222222199E-3</v>
      </c>
      <c r="D101">
        <f>AVERAGE(D$29:D$52,J$29:J$52,P$29:P$52)</f>
        <v>0.92222222222222228</v>
      </c>
      <c r="F101">
        <f>AVERAGE(F$29:F$52,L$29:L$52,R$29:R$52)</f>
        <v>-1.3888888888888937E-5</v>
      </c>
      <c r="G101">
        <f>AVERAGE(G$29:G$52,M$29:M$52,S$29:S$52)</f>
        <v>0.17083333333333328</v>
      </c>
    </row>
    <row r="102" spans="2:20">
      <c r="B102" s="4" t="s">
        <v>20</v>
      </c>
      <c r="C102" s="25">
        <f>MEDIAN(C$29:C$52,I$29:I$52,O$29:O$52)</f>
        <v>0.01</v>
      </c>
      <c r="D102">
        <f>MEDIAN(D$29:D$52,J$29:J$52,P$29:P$52)</f>
        <v>0.3</v>
      </c>
      <c r="F102">
        <f>MEDIAN(F$29:F$52,L$29:L$52,R$29:R$52)</f>
        <v>0</v>
      </c>
      <c r="G102">
        <f>MEDIAN(G$29:G$52,M$29:M$52,S$29:S$52)</f>
        <v>0</v>
      </c>
    </row>
    <row r="103" spans="2:20">
      <c r="B103" s="4" t="s">
        <v>21</v>
      </c>
      <c r="C103" s="25">
        <f>STDEV(C$29:C$52,I$29:I$52,O$29:O$52)</f>
        <v>6.8846833924814943E-2</v>
      </c>
      <c r="D103">
        <f>STDEV(D$29:D$52,J$29:J$52,P$29:P$52)</f>
        <v>4.2670444375014291</v>
      </c>
      <c r="F103">
        <f>STDEV(F$29:F$52,L$29:L$52,R$29:R$52)</f>
        <v>4.9717315133665013E-3</v>
      </c>
      <c r="G103">
        <f>STDEV(G$29:G$52,M$29:M$52,S$29:S$52)</f>
        <v>4.8763712408791475</v>
      </c>
    </row>
    <row r="104" spans="2:20">
      <c r="B104" s="4" t="s">
        <v>22</v>
      </c>
      <c r="C104" s="25">
        <f>COUNTIF(C$29:C$52, "&lt;0")+COUNTIF(I$29:I$52, "&lt;0")+COUNTIF(O$29:O$52, "&lt;0")</f>
        <v>18</v>
      </c>
      <c r="D104">
        <f>COUNTIF(D$29:D$52, "&lt;0")+COUNTIF(J$29:J$52, "&lt;0")+COUNTIF(P$29:P$52, "&lt;0")</f>
        <v>18</v>
      </c>
      <c r="F104">
        <f>COUNTIF(F$29:F$52, "&lt;0")+COUNTIF(L$29:L$52, "&lt;0")+COUNTIF(R$29:R$52, "&lt;0")</f>
        <v>30</v>
      </c>
      <c r="G104">
        <f>COUNTIF(G$29:G$52, "&lt;0")+COUNTIF(M$29:M$52, "&lt;0")+COUNTIF(S$29:S$52, "&lt;0")</f>
        <v>30</v>
      </c>
    </row>
    <row r="106" spans="2:20">
      <c r="C106" s="27" t="s">
        <v>27</v>
      </c>
    </row>
    <row r="107" spans="2:20">
      <c r="B107" s="4" t="s">
        <v>19</v>
      </c>
      <c r="C107" s="25" cm="1">
        <f t="array" ref="C107">AVERAGE(ABS(C$29:C$52),ABS(I$29:I$52),ABS(O$29:O$52))</f>
        <v>4.597222222222222E-2</v>
      </c>
      <c r="D107" cm="1">
        <f t="array" ref="D107">AVERAGE(ABS(D$29:D$52),ABS(J$29:J$52),ABS(P$29:P$52))</f>
        <v>2.6249999999999991</v>
      </c>
      <c r="F107" cm="1">
        <f t="array" ref="F107">AVERAGE(ABS(F$29:F$52),ABS(L$29:L$52),ABS(R$29:R$52))</f>
        <v>3.319444444444446E-3</v>
      </c>
      <c r="G107" cm="1">
        <f t="array" ref="G107">AVERAGE(ABS(G$29:G$52),ABS(M$29:M$52),ABS(S$29:S$52))</f>
        <v>2.9402777777777778</v>
      </c>
    </row>
    <row r="108" spans="2:20">
      <c r="B108" s="4" t="s">
        <v>20</v>
      </c>
      <c r="C108" s="25" cm="1">
        <f t="array" ref="C108">MEDIAN(ABS(C$29:C$52),ABS(I$29:I$52),ABS(O$29:O$52))</f>
        <v>0.03</v>
      </c>
      <c r="D108" cm="1">
        <f t="array" ref="D108">MEDIAN(ABS(D$29:D$52),ABS(J$29:J$52),ABS(P$29:P$52))</f>
        <v>1.2</v>
      </c>
      <c r="F108" cm="1">
        <f t="array" ref="F108">MEDIAN(ABS(F$29:F$52),ABS(L$29:L$52),ABS(R$29:R$52))</f>
        <v>2E-3</v>
      </c>
      <c r="G108" cm="1">
        <f t="array" ref="G108">MEDIAN(ABS(G$29:G$52),ABS(M$29:M$52),ABS(S$29:S$52))</f>
        <v>1.45</v>
      </c>
    </row>
    <row r="109" spans="2:20">
      <c r="B109" s="4" t="s">
        <v>21</v>
      </c>
      <c r="C109" s="25" cm="1">
        <f t="array" ref="C109">STDEV(ABS(C$29:C$52),ABS(I$29:I$52),ABS(O$29:O$52))</f>
        <v>5.1311249136519008E-2</v>
      </c>
      <c r="D109" cm="1">
        <f t="array" ref="D109">STDEV(ABS(D$29:D$52),ABS(J$29:J$52),ABS(P$29:P$52))</f>
        <v>3.4759840029454097</v>
      </c>
      <c r="F109" cm="1">
        <f t="array" ref="F109">STDEV(ABS(F$29:F$52),ABS(L$29:L$52),ABS(R$29:R$52))</f>
        <v>3.6802724519814779E-3</v>
      </c>
      <c r="G109" cm="1">
        <f t="array" ref="G109">STDEV(ABS(G$29:G$52),ABS(M$29:M$52),ABS(S$29:S$52))</f>
        <v>3.8783494282941962</v>
      </c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topLeftCell="A37" workbookViewId="0">
      <selection activeCell="D11" sqref="D11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28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-1.58</v>
      </c>
      <c r="D5">
        <v>-50.5</v>
      </c>
      <c r="E5" t="str">
        <f>IF(ABS(D5)&gt;50,"?","-")</f>
        <v>?</v>
      </c>
      <c r="F5">
        <v>-1.2E-2</v>
      </c>
      <c r="G5">
        <v>-7.7</v>
      </c>
      <c r="H5" t="str">
        <f>IF(ABS(G5)&gt;50,"?","-")</f>
        <v>-</v>
      </c>
      <c r="I5" s="1">
        <v>-1.36</v>
      </c>
      <c r="J5">
        <v>-45.2</v>
      </c>
      <c r="K5" t="str">
        <f>IF(ABS(J5)&gt;50,"?","-")</f>
        <v>-</v>
      </c>
      <c r="L5">
        <v>-0.03</v>
      </c>
      <c r="M5">
        <v>-16</v>
      </c>
      <c r="N5" t="str">
        <f>IF(ABS(M5)&gt;50,"?","-")</f>
        <v>-</v>
      </c>
      <c r="O5" s="1">
        <v>-1.31</v>
      </c>
      <c r="P5">
        <v>-45</v>
      </c>
      <c r="Q5" t="str">
        <f>IF(ABS(P5)&gt;50,"?","-")</f>
        <v>-</v>
      </c>
      <c r="R5">
        <v>-3.6999999999999998E-2</v>
      </c>
      <c r="S5">
        <v>-20.3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-1.21</v>
      </c>
      <c r="D6">
        <v>-46.9</v>
      </c>
      <c r="E6" t="str">
        <f t="shared" ref="E6:E52" si="0">IF(ABS(D6)&gt;50,"?","-")</f>
        <v>-</v>
      </c>
      <c r="F6">
        <v>-2.9000000000000001E-2</v>
      </c>
      <c r="G6">
        <v>-21.6</v>
      </c>
      <c r="H6" t="str">
        <f t="shared" ref="H6:H52" si="1">IF(ABS(G6)&gt;50,"?","-")</f>
        <v>-</v>
      </c>
      <c r="I6" s="1">
        <v>-1.27</v>
      </c>
      <c r="J6">
        <v>-48.5</v>
      </c>
      <c r="K6" t="str">
        <f t="shared" ref="K6:K52" si="2">IF(ABS(J6)&gt;50,"?","-")</f>
        <v>-</v>
      </c>
      <c r="L6">
        <v>-4.4999999999999998E-2</v>
      </c>
      <c r="M6">
        <v>-30.4</v>
      </c>
      <c r="N6" t="str">
        <f t="shared" ref="N6:N52" si="3">IF(ABS(M6)&gt;50,"?","-")</f>
        <v>-</v>
      </c>
      <c r="O6" s="1">
        <v>-1.29</v>
      </c>
      <c r="P6">
        <v>-48.9</v>
      </c>
      <c r="Q6" t="str">
        <f t="shared" ref="Q6:Q52" si="4">IF(ABS(P6)&gt;50,"?","-")</f>
        <v>-</v>
      </c>
      <c r="R6">
        <v>-3.1E-2</v>
      </c>
      <c r="S6">
        <v>-23.1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-2.4900000000000002</v>
      </c>
      <c r="D7">
        <v>-34.200000000000003</v>
      </c>
      <c r="E7" t="str">
        <f t="shared" si="0"/>
        <v>-</v>
      </c>
      <c r="F7">
        <v>-4.2999999999999997E-2</v>
      </c>
      <c r="G7">
        <v>-12.2</v>
      </c>
      <c r="H7" t="str">
        <f t="shared" si="1"/>
        <v>-</v>
      </c>
      <c r="I7" s="1">
        <v>-1.84</v>
      </c>
      <c r="J7">
        <v>-30.5</v>
      </c>
      <c r="K7" t="str">
        <f t="shared" si="2"/>
        <v>-</v>
      </c>
      <c r="L7">
        <v>-0.04</v>
      </c>
      <c r="M7">
        <v>-12.3</v>
      </c>
      <c r="N7" t="str">
        <f t="shared" si="3"/>
        <v>-</v>
      </c>
      <c r="O7" s="1">
        <v>-1.67</v>
      </c>
      <c r="P7">
        <v>-28.8</v>
      </c>
      <c r="Q7" t="str">
        <f t="shared" si="4"/>
        <v>-</v>
      </c>
      <c r="R7">
        <v>-3.5000000000000003E-2</v>
      </c>
      <c r="S7">
        <v>-11.3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0.18</v>
      </c>
      <c r="D8">
        <v>14.2</v>
      </c>
      <c r="E8" t="str">
        <f t="shared" si="0"/>
        <v>-</v>
      </c>
      <c r="F8">
        <v>2.7E-2</v>
      </c>
      <c r="G8">
        <v>25.7</v>
      </c>
      <c r="H8" t="str">
        <f t="shared" si="1"/>
        <v>-</v>
      </c>
      <c r="I8" s="1">
        <v>0.08</v>
      </c>
      <c r="J8">
        <v>7.6</v>
      </c>
      <c r="K8" t="str">
        <f t="shared" si="2"/>
        <v>-</v>
      </c>
      <c r="L8">
        <v>0.05</v>
      </c>
      <c r="M8">
        <v>71.400000000000006</v>
      </c>
      <c r="N8" t="str">
        <f t="shared" si="3"/>
        <v>?</v>
      </c>
      <c r="O8" s="1">
        <v>0.2</v>
      </c>
      <c r="P8">
        <v>15.6</v>
      </c>
      <c r="Q8" t="str">
        <f t="shared" si="4"/>
        <v>-</v>
      </c>
      <c r="R8">
        <v>0.09</v>
      </c>
      <c r="S8">
        <v>152.5</v>
      </c>
      <c r="T8" s="2" t="str">
        <f t="shared" si="5"/>
        <v>?</v>
      </c>
    </row>
    <row r="9" spans="1:20">
      <c r="A9" s="11" t="s">
        <v>9</v>
      </c>
      <c r="B9" s="12" t="s">
        <v>14</v>
      </c>
      <c r="C9">
        <v>-0.75</v>
      </c>
      <c r="D9">
        <v>-34.1</v>
      </c>
      <c r="E9" t="str">
        <f t="shared" si="0"/>
        <v>-</v>
      </c>
      <c r="F9">
        <v>-2.7E-2</v>
      </c>
      <c r="G9">
        <v>-18.5</v>
      </c>
      <c r="H9" t="str">
        <f t="shared" si="1"/>
        <v>-</v>
      </c>
      <c r="I9" s="1">
        <v>-0.71</v>
      </c>
      <c r="J9">
        <v>-34.799999999999997</v>
      </c>
      <c r="K9" t="str">
        <f t="shared" si="2"/>
        <v>-</v>
      </c>
      <c r="L9">
        <v>-4.7E-2</v>
      </c>
      <c r="M9">
        <v>-29.2</v>
      </c>
      <c r="N9" t="str">
        <f t="shared" si="3"/>
        <v>-</v>
      </c>
      <c r="O9" s="1">
        <v>-0.69</v>
      </c>
      <c r="P9">
        <v>-33.700000000000003</v>
      </c>
      <c r="Q9" t="str">
        <f t="shared" si="4"/>
        <v>-</v>
      </c>
      <c r="R9">
        <v>-4.5999999999999999E-2</v>
      </c>
      <c r="S9">
        <v>-28.6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-0.73</v>
      </c>
      <c r="D10">
        <v>-36.5</v>
      </c>
      <c r="E10" t="str">
        <f t="shared" si="0"/>
        <v>-</v>
      </c>
      <c r="F10">
        <v>-4.0000000000000001E-3</v>
      </c>
      <c r="G10">
        <v>-4</v>
      </c>
      <c r="H10" t="str">
        <f t="shared" si="1"/>
        <v>-</v>
      </c>
      <c r="I10" s="1">
        <v>-0.76</v>
      </c>
      <c r="J10">
        <v>-39.200000000000003</v>
      </c>
      <c r="K10" t="str">
        <f t="shared" si="2"/>
        <v>-</v>
      </c>
      <c r="L10">
        <v>3.0000000000000001E-3</v>
      </c>
      <c r="M10">
        <v>2.9</v>
      </c>
      <c r="N10" t="str">
        <f t="shared" si="3"/>
        <v>-</v>
      </c>
      <c r="O10" s="1">
        <v>-0.64</v>
      </c>
      <c r="P10">
        <v>-33</v>
      </c>
      <c r="Q10" t="str">
        <f t="shared" si="4"/>
        <v>-</v>
      </c>
      <c r="R10">
        <v>-2E-3</v>
      </c>
      <c r="S10">
        <v>-1.9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-2.17</v>
      </c>
      <c r="D11">
        <v>-41.5</v>
      </c>
      <c r="E11" t="str">
        <f t="shared" si="0"/>
        <v>-</v>
      </c>
      <c r="F11">
        <v>-4.4999999999999998E-2</v>
      </c>
      <c r="G11">
        <v>-16</v>
      </c>
      <c r="H11" t="str">
        <f t="shared" si="1"/>
        <v>-</v>
      </c>
      <c r="I11" s="1">
        <v>-0.68</v>
      </c>
      <c r="J11">
        <v>-15.2</v>
      </c>
      <c r="K11" t="str">
        <f t="shared" si="2"/>
        <v>-</v>
      </c>
      <c r="L11">
        <v>1E-3</v>
      </c>
      <c r="M11">
        <v>0.4</v>
      </c>
      <c r="N11" t="str">
        <f t="shared" si="3"/>
        <v>-</v>
      </c>
      <c r="O11" s="1">
        <v>-0.6</v>
      </c>
      <c r="P11">
        <v>-13.8</v>
      </c>
      <c r="Q11" t="str">
        <f t="shared" si="4"/>
        <v>-</v>
      </c>
      <c r="R11">
        <v>3.0000000000000001E-3</v>
      </c>
      <c r="S11">
        <v>1.3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0.08</v>
      </c>
      <c r="D12">
        <v>7.9</v>
      </c>
      <c r="E12" t="str">
        <f t="shared" si="0"/>
        <v>-</v>
      </c>
      <c r="F12">
        <v>0.02</v>
      </c>
      <c r="G12">
        <v>25</v>
      </c>
      <c r="H12" t="str">
        <f t="shared" si="1"/>
        <v>-</v>
      </c>
      <c r="I12" s="1">
        <v>0.16</v>
      </c>
      <c r="J12">
        <v>27.6</v>
      </c>
      <c r="K12" t="str">
        <f t="shared" si="2"/>
        <v>-</v>
      </c>
      <c r="L12">
        <v>2.8000000000000001E-2</v>
      </c>
      <c r="M12">
        <v>43.1</v>
      </c>
      <c r="N12" t="str">
        <f t="shared" si="3"/>
        <v>-</v>
      </c>
      <c r="O12" s="1">
        <v>0.05</v>
      </c>
      <c r="P12">
        <v>5.2</v>
      </c>
      <c r="Q12" t="str">
        <f t="shared" si="4"/>
        <v>-</v>
      </c>
      <c r="R12">
        <v>1.7000000000000001E-2</v>
      </c>
      <c r="S12">
        <v>23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-0.42</v>
      </c>
      <c r="D13">
        <v>-23.5</v>
      </c>
      <c r="E13" t="str">
        <f t="shared" si="0"/>
        <v>-</v>
      </c>
      <c r="F13">
        <v>-3.0000000000000001E-3</v>
      </c>
      <c r="G13">
        <v>-2</v>
      </c>
      <c r="H13" t="str">
        <f t="shared" si="1"/>
        <v>-</v>
      </c>
      <c r="I13" s="1">
        <v>-0.5</v>
      </c>
      <c r="J13">
        <v>-28.1</v>
      </c>
      <c r="K13" t="str">
        <f t="shared" si="2"/>
        <v>-</v>
      </c>
      <c r="L13">
        <v>-2.1999999999999999E-2</v>
      </c>
      <c r="M13">
        <v>-15.3</v>
      </c>
      <c r="N13" t="str">
        <f t="shared" si="3"/>
        <v>-</v>
      </c>
      <c r="O13" s="1">
        <v>-0.51</v>
      </c>
      <c r="P13">
        <v>-29</v>
      </c>
      <c r="Q13" t="str">
        <f t="shared" si="4"/>
        <v>-</v>
      </c>
      <c r="R13">
        <v>-0.02</v>
      </c>
      <c r="S13">
        <v>-13.7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-0.34</v>
      </c>
      <c r="D14">
        <v>-21.9</v>
      </c>
      <c r="E14" t="str">
        <f t="shared" si="0"/>
        <v>-</v>
      </c>
      <c r="F14">
        <v>7.0000000000000001E-3</v>
      </c>
      <c r="G14">
        <v>7.3</v>
      </c>
      <c r="H14" t="str">
        <f t="shared" si="1"/>
        <v>-</v>
      </c>
      <c r="I14" s="1">
        <v>-0.54</v>
      </c>
      <c r="J14">
        <v>-34</v>
      </c>
      <c r="K14" t="str">
        <f t="shared" si="2"/>
        <v>-</v>
      </c>
      <c r="L14">
        <v>-7.0000000000000001E-3</v>
      </c>
      <c r="M14">
        <v>-7.8</v>
      </c>
      <c r="N14" t="str">
        <f t="shared" si="3"/>
        <v>-</v>
      </c>
      <c r="O14" s="1">
        <v>-0.44</v>
      </c>
      <c r="P14">
        <v>-27</v>
      </c>
      <c r="Q14" t="str">
        <f t="shared" si="4"/>
        <v>-</v>
      </c>
      <c r="R14">
        <v>-2E-3</v>
      </c>
      <c r="S14">
        <v>-2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-0.75</v>
      </c>
      <c r="D15">
        <v>-17.7</v>
      </c>
      <c r="E15" t="str">
        <f t="shared" si="0"/>
        <v>-</v>
      </c>
      <c r="F15">
        <v>0</v>
      </c>
      <c r="G15">
        <v>0</v>
      </c>
      <c r="H15" t="str">
        <f t="shared" si="1"/>
        <v>-</v>
      </c>
      <c r="I15" s="1">
        <v>0.02</v>
      </c>
      <c r="J15">
        <v>0.7</v>
      </c>
      <c r="K15" t="str">
        <f t="shared" si="2"/>
        <v>-</v>
      </c>
      <c r="L15">
        <v>3.1E-2</v>
      </c>
      <c r="M15">
        <v>17.3</v>
      </c>
      <c r="N15" t="str">
        <f t="shared" si="3"/>
        <v>-</v>
      </c>
      <c r="O15" s="1">
        <v>-0.15</v>
      </c>
      <c r="P15">
        <v>-5</v>
      </c>
      <c r="Q15" t="str">
        <f t="shared" si="4"/>
        <v>-</v>
      </c>
      <c r="R15">
        <v>2.7E-2</v>
      </c>
      <c r="S15">
        <v>14.8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-7.0000000000000007E-2</v>
      </c>
      <c r="D16">
        <v>-7.8</v>
      </c>
      <c r="E16" t="str">
        <f t="shared" si="0"/>
        <v>-</v>
      </c>
      <c r="F16">
        <v>0.04</v>
      </c>
      <c r="G16">
        <v>53.3</v>
      </c>
      <c r="H16" t="str">
        <f t="shared" si="1"/>
        <v>?</v>
      </c>
      <c r="I16" s="1">
        <v>0.25</v>
      </c>
      <c r="J16">
        <v>46.3</v>
      </c>
      <c r="K16" t="str">
        <f t="shared" si="2"/>
        <v>-</v>
      </c>
      <c r="L16">
        <v>6.5000000000000002E-2</v>
      </c>
      <c r="M16">
        <v>130</v>
      </c>
      <c r="N16" t="str">
        <f t="shared" si="3"/>
        <v>?</v>
      </c>
      <c r="O16" s="1">
        <v>-0.01</v>
      </c>
      <c r="P16">
        <v>-1.3</v>
      </c>
      <c r="Q16" t="str">
        <f t="shared" si="4"/>
        <v>-</v>
      </c>
      <c r="R16">
        <v>2.1000000000000001E-2</v>
      </c>
      <c r="S16">
        <v>37.5</v>
      </c>
      <c r="T16" s="2" t="str">
        <f t="shared" si="5"/>
        <v>-</v>
      </c>
    </row>
    <row r="17" spans="1:20">
      <c r="A17" s="11" t="s">
        <v>9</v>
      </c>
      <c r="B17" s="12" t="s">
        <v>16</v>
      </c>
      <c r="C17">
        <v>-0.36</v>
      </c>
      <c r="D17">
        <v>-23.1</v>
      </c>
      <c r="E17" t="str">
        <f t="shared" si="0"/>
        <v>-</v>
      </c>
      <c r="F17">
        <v>-0.01</v>
      </c>
      <c r="G17">
        <v>-7.2</v>
      </c>
      <c r="H17" t="str">
        <f t="shared" si="1"/>
        <v>-</v>
      </c>
      <c r="I17" s="1">
        <v>-0.39</v>
      </c>
      <c r="J17">
        <v>-26</v>
      </c>
      <c r="K17" t="str">
        <f t="shared" si="2"/>
        <v>-</v>
      </c>
      <c r="L17">
        <v>-1.0999999999999999E-2</v>
      </c>
      <c r="M17">
        <v>-8.5</v>
      </c>
      <c r="N17" t="str">
        <f t="shared" si="3"/>
        <v>-</v>
      </c>
      <c r="O17" s="1">
        <v>-0.35</v>
      </c>
      <c r="P17">
        <v>-23.2</v>
      </c>
      <c r="Q17" t="str">
        <f t="shared" si="4"/>
        <v>-</v>
      </c>
      <c r="R17">
        <v>-1.2E-2</v>
      </c>
      <c r="S17">
        <v>-9.4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-0.23</v>
      </c>
      <c r="D18">
        <v>-16.899999999999999</v>
      </c>
      <c r="E18" t="str">
        <f t="shared" si="0"/>
        <v>-</v>
      </c>
      <c r="F18">
        <v>6.0000000000000001E-3</v>
      </c>
      <c r="G18">
        <v>6.6</v>
      </c>
      <c r="H18" t="str">
        <f t="shared" si="1"/>
        <v>-</v>
      </c>
      <c r="I18" s="1">
        <v>-0.55000000000000004</v>
      </c>
      <c r="J18">
        <v>-38.700000000000003</v>
      </c>
      <c r="K18" t="str">
        <f t="shared" si="2"/>
        <v>-</v>
      </c>
      <c r="L18">
        <v>-0.02</v>
      </c>
      <c r="M18">
        <v>-22.2</v>
      </c>
      <c r="N18" t="str">
        <f t="shared" si="3"/>
        <v>-</v>
      </c>
      <c r="O18" s="1">
        <v>-0.62</v>
      </c>
      <c r="P18">
        <v>-41.3</v>
      </c>
      <c r="Q18" t="str">
        <f t="shared" si="4"/>
        <v>-</v>
      </c>
      <c r="R18">
        <v>-3.7999999999999999E-2</v>
      </c>
      <c r="S18">
        <v>-37.299999999999997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-0.16</v>
      </c>
      <c r="D19">
        <v>-5.4</v>
      </c>
      <c r="E19" t="str">
        <f t="shared" si="0"/>
        <v>-</v>
      </c>
      <c r="F19">
        <v>1.2999999999999999E-2</v>
      </c>
      <c r="G19">
        <v>7.3</v>
      </c>
      <c r="H19" t="str">
        <f t="shared" si="1"/>
        <v>-</v>
      </c>
      <c r="I19" s="1">
        <v>-0.45</v>
      </c>
      <c r="J19">
        <v>-14.1</v>
      </c>
      <c r="K19" t="str">
        <f t="shared" si="2"/>
        <v>-</v>
      </c>
      <c r="L19">
        <v>-3.4000000000000002E-2</v>
      </c>
      <c r="M19">
        <v>-17.100000000000001</v>
      </c>
      <c r="N19" t="str">
        <f t="shared" si="3"/>
        <v>-</v>
      </c>
      <c r="O19" s="1">
        <v>-0.74</v>
      </c>
      <c r="P19">
        <v>-23.6</v>
      </c>
      <c r="Q19" t="str">
        <f t="shared" si="4"/>
        <v>-</v>
      </c>
      <c r="R19">
        <v>-3.9E-2</v>
      </c>
      <c r="S19">
        <v>-19.3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0.11</v>
      </c>
      <c r="D20">
        <v>15.7</v>
      </c>
      <c r="E20" t="str">
        <f t="shared" si="0"/>
        <v>-</v>
      </c>
      <c r="F20">
        <v>3.3000000000000002E-2</v>
      </c>
      <c r="G20">
        <v>53.2</v>
      </c>
      <c r="H20" t="str">
        <f t="shared" si="1"/>
        <v>?</v>
      </c>
      <c r="I20" s="1">
        <v>0.17</v>
      </c>
      <c r="J20">
        <v>32.700000000000003</v>
      </c>
      <c r="K20" t="str">
        <f t="shared" si="2"/>
        <v>-</v>
      </c>
      <c r="L20">
        <v>5.7000000000000002E-2</v>
      </c>
      <c r="M20">
        <v>150</v>
      </c>
      <c r="N20" t="str">
        <f t="shared" si="3"/>
        <v>?</v>
      </c>
      <c r="O20" s="1">
        <v>-0.26</v>
      </c>
      <c r="P20">
        <v>-26.8</v>
      </c>
      <c r="Q20" t="str">
        <f t="shared" si="4"/>
        <v>-</v>
      </c>
      <c r="R20">
        <v>4.8000000000000001E-2</v>
      </c>
      <c r="S20">
        <v>98</v>
      </c>
      <c r="T20" s="2" t="str">
        <f t="shared" si="5"/>
        <v>?</v>
      </c>
    </row>
    <row r="21" spans="1:20">
      <c r="A21" s="11" t="s">
        <v>9</v>
      </c>
      <c r="B21" s="12" t="s">
        <v>17</v>
      </c>
      <c r="C21">
        <v>-0.25</v>
      </c>
      <c r="D21">
        <v>-17.7</v>
      </c>
      <c r="E21" t="str">
        <f t="shared" si="0"/>
        <v>-</v>
      </c>
      <c r="F21">
        <v>-1.7000000000000001E-2</v>
      </c>
      <c r="G21">
        <v>-13.1</v>
      </c>
      <c r="H21" t="str">
        <f t="shared" si="1"/>
        <v>-</v>
      </c>
      <c r="I21" s="1">
        <v>-0.25</v>
      </c>
      <c r="J21">
        <v>-19.2</v>
      </c>
      <c r="K21" t="str">
        <f t="shared" si="2"/>
        <v>-</v>
      </c>
      <c r="L21">
        <v>-0.02</v>
      </c>
      <c r="M21">
        <v>-18</v>
      </c>
      <c r="N21" t="str">
        <f t="shared" si="3"/>
        <v>-</v>
      </c>
      <c r="O21" s="1">
        <v>-0.27</v>
      </c>
      <c r="P21">
        <v>-20</v>
      </c>
      <c r="Q21" t="str">
        <f t="shared" si="4"/>
        <v>-</v>
      </c>
      <c r="R21">
        <v>-2.3E-2</v>
      </c>
      <c r="S21">
        <v>-18.3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-0.28000000000000003</v>
      </c>
      <c r="D22">
        <v>-22.4</v>
      </c>
      <c r="E22" t="str">
        <f t="shared" si="0"/>
        <v>-</v>
      </c>
      <c r="F22">
        <v>1.7000000000000001E-2</v>
      </c>
      <c r="G22">
        <v>17</v>
      </c>
      <c r="H22" t="str">
        <f t="shared" si="1"/>
        <v>-</v>
      </c>
      <c r="I22" s="1">
        <v>-0.22</v>
      </c>
      <c r="J22">
        <v>-17.2</v>
      </c>
      <c r="K22" t="str">
        <f t="shared" si="2"/>
        <v>-</v>
      </c>
      <c r="L22">
        <v>-4.0000000000000001E-3</v>
      </c>
      <c r="M22">
        <v>-4.3</v>
      </c>
      <c r="N22" t="str">
        <f t="shared" si="3"/>
        <v>-</v>
      </c>
      <c r="O22" s="1">
        <v>-0.18</v>
      </c>
      <c r="P22">
        <v>-14.6</v>
      </c>
      <c r="Q22" t="str">
        <f t="shared" si="4"/>
        <v>-</v>
      </c>
      <c r="R22">
        <v>1.7000000000000001E-2</v>
      </c>
      <c r="S22">
        <v>19.3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-0.74</v>
      </c>
      <c r="D23">
        <v>-18.5</v>
      </c>
      <c r="E23" t="str">
        <f t="shared" si="0"/>
        <v>-</v>
      </c>
      <c r="F23">
        <v>-0.02</v>
      </c>
      <c r="G23">
        <v>-8.8000000000000007</v>
      </c>
      <c r="H23" t="str">
        <f t="shared" si="1"/>
        <v>-</v>
      </c>
      <c r="I23" s="1">
        <v>-0.68</v>
      </c>
      <c r="J23">
        <v>-18.899999999999999</v>
      </c>
      <c r="K23" t="str">
        <f t="shared" si="2"/>
        <v>-</v>
      </c>
      <c r="L23">
        <v>-1.2999999999999999E-2</v>
      </c>
      <c r="M23">
        <v>-6.6</v>
      </c>
      <c r="N23" t="str">
        <f t="shared" si="3"/>
        <v>-</v>
      </c>
      <c r="O23" s="1">
        <v>-0.95</v>
      </c>
      <c r="P23">
        <v>-24.6</v>
      </c>
      <c r="Q23" t="str">
        <f t="shared" si="4"/>
        <v>-</v>
      </c>
      <c r="R23">
        <v>-0.01</v>
      </c>
      <c r="S23">
        <v>-5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-0.25</v>
      </c>
      <c r="D24">
        <v>-26.9</v>
      </c>
      <c r="E24" t="str">
        <f t="shared" si="0"/>
        <v>-</v>
      </c>
      <c r="F24">
        <v>-6.0000000000000001E-3</v>
      </c>
      <c r="G24">
        <v>-8.3000000000000007</v>
      </c>
      <c r="H24" t="str">
        <f t="shared" si="1"/>
        <v>-</v>
      </c>
      <c r="I24" s="1">
        <v>0.23</v>
      </c>
      <c r="J24">
        <v>43.4</v>
      </c>
      <c r="K24" t="str">
        <f t="shared" si="2"/>
        <v>-</v>
      </c>
      <c r="L24">
        <v>6.3E-2</v>
      </c>
      <c r="M24">
        <v>175</v>
      </c>
      <c r="N24" t="str">
        <f t="shared" si="3"/>
        <v>?</v>
      </c>
      <c r="O24" s="1">
        <v>-0.02</v>
      </c>
      <c r="P24">
        <v>-2.9</v>
      </c>
      <c r="Q24" t="str">
        <f t="shared" si="4"/>
        <v>-</v>
      </c>
      <c r="R24">
        <v>4.8000000000000001E-2</v>
      </c>
      <c r="S24">
        <v>145.5</v>
      </c>
      <c r="T24" s="2" t="str">
        <f t="shared" si="5"/>
        <v>?</v>
      </c>
    </row>
    <row r="25" spans="1:20">
      <c r="A25" s="11" t="s">
        <v>9</v>
      </c>
      <c r="B25" s="12" t="s">
        <v>18</v>
      </c>
      <c r="C25">
        <v>0.06</v>
      </c>
      <c r="D25">
        <v>3.6</v>
      </c>
      <c r="E25" t="str">
        <f t="shared" si="0"/>
        <v>-</v>
      </c>
      <c r="F25">
        <v>-1.7000000000000001E-2</v>
      </c>
      <c r="G25">
        <v>-11.9</v>
      </c>
      <c r="H25" t="str">
        <f t="shared" si="1"/>
        <v>-</v>
      </c>
      <c r="I25" s="1">
        <v>-0.02</v>
      </c>
      <c r="J25">
        <v>-1.3</v>
      </c>
      <c r="K25" t="str">
        <f t="shared" si="2"/>
        <v>-</v>
      </c>
      <c r="L25">
        <v>-1.7000000000000001E-2</v>
      </c>
      <c r="M25">
        <v>-13.5</v>
      </c>
      <c r="N25" t="str">
        <f t="shared" si="3"/>
        <v>-</v>
      </c>
      <c r="O25" s="1">
        <v>0.2</v>
      </c>
      <c r="P25">
        <v>13.6</v>
      </c>
      <c r="Q25" t="str">
        <f t="shared" si="4"/>
        <v>-</v>
      </c>
      <c r="R25">
        <v>-6.0000000000000001E-3</v>
      </c>
      <c r="S25">
        <v>-5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0.02</v>
      </c>
      <c r="D26">
        <v>1.6</v>
      </c>
      <c r="E26" t="str">
        <f t="shared" si="0"/>
        <v>-</v>
      </c>
      <c r="F26">
        <v>2.1999999999999999E-2</v>
      </c>
      <c r="G26">
        <v>25.9</v>
      </c>
      <c r="H26" t="str">
        <f t="shared" si="1"/>
        <v>-</v>
      </c>
      <c r="I26" s="1">
        <v>-0.11</v>
      </c>
      <c r="J26">
        <v>-7.8</v>
      </c>
      <c r="K26" t="str">
        <f t="shared" si="2"/>
        <v>-</v>
      </c>
      <c r="L26">
        <v>-6.0000000000000001E-3</v>
      </c>
      <c r="M26">
        <v>-5</v>
      </c>
      <c r="N26" t="str">
        <f t="shared" si="3"/>
        <v>-</v>
      </c>
      <c r="O26" s="1">
        <v>-0.2</v>
      </c>
      <c r="P26">
        <v>-13.8</v>
      </c>
      <c r="Q26" t="str">
        <f t="shared" si="4"/>
        <v>-</v>
      </c>
      <c r="R26">
        <v>-1.2999999999999999E-2</v>
      </c>
      <c r="S26">
        <v>-10.7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-1.44</v>
      </c>
      <c r="D27">
        <v>-32.799999999999997</v>
      </c>
      <c r="E27" t="str">
        <f t="shared" si="0"/>
        <v>-</v>
      </c>
      <c r="F27">
        <v>-9.7000000000000003E-2</v>
      </c>
      <c r="G27">
        <v>-38.200000000000003</v>
      </c>
      <c r="H27" t="str">
        <f t="shared" si="1"/>
        <v>-</v>
      </c>
      <c r="I27" s="1">
        <v>-1.31</v>
      </c>
      <c r="J27">
        <v>-28.5</v>
      </c>
      <c r="K27" t="str">
        <f t="shared" si="2"/>
        <v>-</v>
      </c>
      <c r="L27">
        <v>-7.6999999999999999E-2</v>
      </c>
      <c r="M27">
        <v>-34.1</v>
      </c>
      <c r="N27" t="str">
        <f t="shared" si="3"/>
        <v>-</v>
      </c>
      <c r="O27" s="1">
        <v>-0.32</v>
      </c>
      <c r="P27">
        <v>-8.1999999999999993</v>
      </c>
      <c r="Q27" t="str">
        <f t="shared" si="4"/>
        <v>-</v>
      </c>
      <c r="R27">
        <v>-5.8000000000000003E-2</v>
      </c>
      <c r="S27">
        <v>-29.3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-0.09</v>
      </c>
      <c r="D28">
        <v>-11</v>
      </c>
      <c r="E28" t="str">
        <f t="shared" si="0"/>
        <v>-</v>
      </c>
      <c r="F28">
        <v>5.2999999999999999E-2</v>
      </c>
      <c r="G28">
        <v>160.6</v>
      </c>
      <c r="H28" t="str">
        <f t="shared" si="1"/>
        <v>?</v>
      </c>
      <c r="I28" s="1">
        <v>0.17</v>
      </c>
      <c r="J28">
        <v>31.5</v>
      </c>
      <c r="K28" t="str">
        <f t="shared" si="2"/>
        <v>-</v>
      </c>
      <c r="L28">
        <v>1.7999999999999999E-2</v>
      </c>
      <c r="M28">
        <v>31.6</v>
      </c>
      <c r="N28" t="str">
        <f t="shared" si="3"/>
        <v>-</v>
      </c>
      <c r="O28" s="1">
        <v>-0.17</v>
      </c>
      <c r="P28">
        <v>-18.5</v>
      </c>
      <c r="Q28" t="str">
        <f t="shared" si="4"/>
        <v>-</v>
      </c>
      <c r="R28">
        <v>0.03</v>
      </c>
      <c r="S28">
        <v>50</v>
      </c>
      <c r="T28" s="2" t="str">
        <f t="shared" si="5"/>
        <v>-</v>
      </c>
    </row>
    <row r="29" spans="1:20">
      <c r="A29" s="11" t="s">
        <v>9</v>
      </c>
      <c r="B29" s="13">
        <v>0.4</v>
      </c>
      <c r="C29">
        <v>-0.23</v>
      </c>
      <c r="D29">
        <v>-16.899999999999999</v>
      </c>
      <c r="E29" t="str">
        <f t="shared" si="0"/>
        <v>-</v>
      </c>
      <c r="F29">
        <v>-1.0999999999999999E-2</v>
      </c>
      <c r="G29">
        <v>-9.6</v>
      </c>
      <c r="H29" t="str">
        <f t="shared" si="1"/>
        <v>-</v>
      </c>
      <c r="I29" s="1">
        <v>-0.11</v>
      </c>
      <c r="J29">
        <v>-9.4</v>
      </c>
      <c r="K29" t="str">
        <f t="shared" si="2"/>
        <v>-</v>
      </c>
      <c r="L29">
        <v>-2.4E-2</v>
      </c>
      <c r="M29">
        <v>-21.1</v>
      </c>
      <c r="N29" t="str">
        <f t="shared" si="3"/>
        <v>-</v>
      </c>
      <c r="O29" s="1">
        <v>-0.2</v>
      </c>
      <c r="P29">
        <v>-17.899999999999999</v>
      </c>
      <c r="Q29" t="str">
        <f t="shared" si="4"/>
        <v>-</v>
      </c>
      <c r="R29">
        <v>-4.0000000000000001E-3</v>
      </c>
      <c r="S29">
        <v>-4.0999999999999996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-0.2</v>
      </c>
      <c r="D30">
        <v>-14.7</v>
      </c>
      <c r="E30" t="str">
        <f t="shared" si="0"/>
        <v>-</v>
      </c>
      <c r="F30">
        <v>1.9E-2</v>
      </c>
      <c r="G30">
        <v>17.899999999999999</v>
      </c>
      <c r="H30" t="str">
        <f t="shared" si="1"/>
        <v>-</v>
      </c>
      <c r="I30" s="1">
        <v>-0.19</v>
      </c>
      <c r="J30">
        <v>-16.399999999999999</v>
      </c>
      <c r="K30" t="str">
        <f t="shared" si="2"/>
        <v>-</v>
      </c>
      <c r="L30">
        <v>-1E-3</v>
      </c>
      <c r="M30">
        <v>-1.1000000000000001</v>
      </c>
      <c r="N30" t="str">
        <f t="shared" si="3"/>
        <v>-</v>
      </c>
      <c r="O30" s="1">
        <v>0</v>
      </c>
      <c r="P30">
        <v>0</v>
      </c>
      <c r="Q30" t="str">
        <f t="shared" si="4"/>
        <v>-</v>
      </c>
      <c r="R30">
        <v>1.4E-2</v>
      </c>
      <c r="S30">
        <v>15.6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-0.75</v>
      </c>
      <c r="D31">
        <v>-29.3</v>
      </c>
      <c r="E31" t="str">
        <f t="shared" si="0"/>
        <v>-</v>
      </c>
      <c r="F31">
        <v>-1.2E-2</v>
      </c>
      <c r="G31">
        <v>-7.2</v>
      </c>
      <c r="H31" t="str">
        <f t="shared" si="1"/>
        <v>-</v>
      </c>
      <c r="I31" s="1">
        <v>-0.83</v>
      </c>
      <c r="J31">
        <v>-32.200000000000003</v>
      </c>
      <c r="K31" t="str">
        <f t="shared" si="2"/>
        <v>-</v>
      </c>
      <c r="L31">
        <v>-3.3000000000000002E-2</v>
      </c>
      <c r="M31">
        <v>-21.4</v>
      </c>
      <c r="N31" t="str">
        <f t="shared" si="3"/>
        <v>-</v>
      </c>
      <c r="O31" s="1">
        <v>-1.1299999999999999</v>
      </c>
      <c r="P31">
        <v>-44.5</v>
      </c>
      <c r="Q31" t="str">
        <f t="shared" si="4"/>
        <v>-</v>
      </c>
      <c r="R31">
        <v>-5.0999999999999997E-2</v>
      </c>
      <c r="S31">
        <v>-32.299999999999997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0.13</v>
      </c>
      <c r="D32">
        <v>14.8</v>
      </c>
      <c r="E32" t="str">
        <f t="shared" si="0"/>
        <v>-</v>
      </c>
      <c r="F32">
        <v>6.0999999999999999E-2</v>
      </c>
      <c r="G32">
        <v>105.2</v>
      </c>
      <c r="H32" t="str">
        <f t="shared" si="1"/>
        <v>?</v>
      </c>
      <c r="I32" s="1">
        <v>0.25</v>
      </c>
      <c r="J32">
        <v>46.3</v>
      </c>
      <c r="K32" t="str">
        <f t="shared" si="2"/>
        <v>-</v>
      </c>
      <c r="L32">
        <v>2.5000000000000001E-2</v>
      </c>
      <c r="M32">
        <v>47.2</v>
      </c>
      <c r="N32" t="str">
        <f t="shared" si="3"/>
        <v>-</v>
      </c>
      <c r="O32" s="1">
        <v>0.13</v>
      </c>
      <c r="P32">
        <v>18.3</v>
      </c>
      <c r="Q32" t="str">
        <f t="shared" si="4"/>
        <v>-</v>
      </c>
      <c r="R32">
        <v>3.9E-2</v>
      </c>
      <c r="S32">
        <v>114.7</v>
      </c>
      <c r="T32" s="2" t="str">
        <f t="shared" si="5"/>
        <v>?</v>
      </c>
    </row>
    <row r="33" spans="1:20">
      <c r="A33" s="11" t="s">
        <v>9</v>
      </c>
      <c r="B33" s="13">
        <v>0.5</v>
      </c>
      <c r="C33">
        <v>-0.32</v>
      </c>
      <c r="D33">
        <v>-22.7</v>
      </c>
      <c r="E33" t="str">
        <f t="shared" si="0"/>
        <v>-</v>
      </c>
      <c r="F33">
        <v>-2.5999999999999999E-2</v>
      </c>
      <c r="G33">
        <v>-20</v>
      </c>
      <c r="H33" t="str">
        <f t="shared" si="1"/>
        <v>-</v>
      </c>
      <c r="I33" s="1">
        <v>-0.23</v>
      </c>
      <c r="J33">
        <v>-16.7</v>
      </c>
      <c r="K33" t="str">
        <f t="shared" si="2"/>
        <v>-</v>
      </c>
      <c r="L33">
        <v>-0.01</v>
      </c>
      <c r="M33">
        <v>-9.1</v>
      </c>
      <c r="N33" t="str">
        <f t="shared" si="3"/>
        <v>-</v>
      </c>
      <c r="O33" s="1">
        <v>-0.28999999999999998</v>
      </c>
      <c r="P33">
        <v>-21.5</v>
      </c>
      <c r="Q33" t="str">
        <f t="shared" si="4"/>
        <v>-</v>
      </c>
      <c r="R33">
        <v>-1.7999999999999999E-2</v>
      </c>
      <c r="S33">
        <v>-14.8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-0.45</v>
      </c>
      <c r="D34">
        <v>-31.7</v>
      </c>
      <c r="E34" t="str">
        <f t="shared" si="0"/>
        <v>-</v>
      </c>
      <c r="F34">
        <v>-2.5000000000000001E-2</v>
      </c>
      <c r="G34">
        <v>-20.3</v>
      </c>
      <c r="H34" t="str">
        <f t="shared" si="1"/>
        <v>-</v>
      </c>
      <c r="I34" s="1">
        <v>-0.4</v>
      </c>
      <c r="J34">
        <v>-29.9</v>
      </c>
      <c r="K34" t="str">
        <f t="shared" si="2"/>
        <v>-</v>
      </c>
      <c r="L34">
        <v>-3.0000000000000001E-3</v>
      </c>
      <c r="M34">
        <v>-3.3</v>
      </c>
      <c r="N34" t="str">
        <f t="shared" si="3"/>
        <v>-</v>
      </c>
      <c r="O34" s="1">
        <v>-0.47</v>
      </c>
      <c r="P34">
        <v>-35.9</v>
      </c>
      <c r="Q34" t="str">
        <f t="shared" si="4"/>
        <v>-</v>
      </c>
      <c r="R34">
        <v>-3.0000000000000001E-3</v>
      </c>
      <c r="S34">
        <v>-3.4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-1.25</v>
      </c>
      <c r="D35">
        <v>-34</v>
      </c>
      <c r="E35" t="str">
        <f t="shared" si="0"/>
        <v>-</v>
      </c>
      <c r="F35">
        <v>-5.6000000000000001E-2</v>
      </c>
      <c r="G35">
        <v>-28.1</v>
      </c>
      <c r="H35" t="str">
        <f t="shared" si="1"/>
        <v>-</v>
      </c>
      <c r="I35" s="1">
        <v>-0.72</v>
      </c>
      <c r="J35">
        <v>-24.1</v>
      </c>
      <c r="K35" t="str">
        <f t="shared" si="2"/>
        <v>-</v>
      </c>
      <c r="L35">
        <v>5.0000000000000001E-3</v>
      </c>
      <c r="M35">
        <v>3.5</v>
      </c>
      <c r="N35" t="str">
        <f t="shared" si="3"/>
        <v>-</v>
      </c>
      <c r="O35" s="1">
        <v>-0.95</v>
      </c>
      <c r="P35">
        <v>-31.7</v>
      </c>
      <c r="Q35" t="str">
        <f t="shared" si="4"/>
        <v>-</v>
      </c>
      <c r="R35">
        <v>-5.0000000000000001E-3</v>
      </c>
      <c r="S35">
        <v>-3.5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0.09</v>
      </c>
      <c r="D36">
        <v>9.8000000000000007</v>
      </c>
      <c r="E36" t="str">
        <f t="shared" si="0"/>
        <v>-</v>
      </c>
      <c r="F36">
        <v>6.9000000000000006E-2</v>
      </c>
      <c r="G36">
        <v>181.6</v>
      </c>
      <c r="H36" t="str">
        <f t="shared" si="1"/>
        <v>?</v>
      </c>
      <c r="I36" s="1">
        <v>0.08</v>
      </c>
      <c r="J36">
        <v>14</v>
      </c>
      <c r="K36" t="str">
        <f t="shared" si="2"/>
        <v>-</v>
      </c>
      <c r="L36">
        <v>3.2000000000000001E-2</v>
      </c>
      <c r="M36">
        <v>62.7</v>
      </c>
      <c r="N36" t="str">
        <f t="shared" si="3"/>
        <v>?</v>
      </c>
      <c r="O36" s="1">
        <v>0.08</v>
      </c>
      <c r="P36">
        <v>12.5</v>
      </c>
      <c r="Q36" t="str">
        <f t="shared" si="4"/>
        <v>-</v>
      </c>
      <c r="R36">
        <v>3.2000000000000001E-2</v>
      </c>
      <c r="S36">
        <v>61.5</v>
      </c>
      <c r="T36" s="2" t="str">
        <f t="shared" si="5"/>
        <v>?</v>
      </c>
    </row>
    <row r="37" spans="1:20">
      <c r="A37" s="11" t="s">
        <v>9</v>
      </c>
      <c r="B37" s="13">
        <v>0.6</v>
      </c>
      <c r="C37">
        <v>-0.57999999999999996</v>
      </c>
      <c r="D37">
        <v>-36</v>
      </c>
      <c r="E37" t="str">
        <f t="shared" si="0"/>
        <v>-</v>
      </c>
      <c r="F37">
        <v>-2.7E-2</v>
      </c>
      <c r="G37">
        <v>-19.100000000000001</v>
      </c>
      <c r="H37" t="str">
        <f t="shared" si="1"/>
        <v>-</v>
      </c>
      <c r="I37" s="1">
        <v>-0.5</v>
      </c>
      <c r="J37">
        <v>-31.2</v>
      </c>
      <c r="K37" t="str">
        <f t="shared" si="2"/>
        <v>-</v>
      </c>
      <c r="L37">
        <v>-2.3E-2</v>
      </c>
      <c r="M37">
        <v>-18.100000000000001</v>
      </c>
      <c r="N37" t="str">
        <f t="shared" si="3"/>
        <v>-</v>
      </c>
      <c r="O37" s="1">
        <v>-0.48</v>
      </c>
      <c r="P37">
        <v>-30.4</v>
      </c>
      <c r="Q37" t="str">
        <f t="shared" si="4"/>
        <v>-</v>
      </c>
      <c r="R37">
        <v>-1.7999999999999999E-2</v>
      </c>
      <c r="S37">
        <v>-14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-0.44</v>
      </c>
      <c r="D38">
        <v>-29.9</v>
      </c>
      <c r="E38" t="str">
        <f t="shared" si="0"/>
        <v>-</v>
      </c>
      <c r="F38">
        <v>-8.9999999999999993E-3</v>
      </c>
      <c r="G38">
        <v>-9.1999999999999993</v>
      </c>
      <c r="H38" t="str">
        <f t="shared" si="1"/>
        <v>-</v>
      </c>
      <c r="I38" s="1">
        <v>-0.67</v>
      </c>
      <c r="J38">
        <v>-44.4</v>
      </c>
      <c r="K38" t="str">
        <f t="shared" si="2"/>
        <v>-</v>
      </c>
      <c r="L38">
        <v>-1.4E-2</v>
      </c>
      <c r="M38">
        <v>-15.1</v>
      </c>
      <c r="N38" t="str">
        <f t="shared" si="3"/>
        <v>-</v>
      </c>
      <c r="O38" s="1">
        <v>-0.54</v>
      </c>
      <c r="P38">
        <v>-38.799999999999997</v>
      </c>
      <c r="Q38" t="str">
        <f t="shared" si="4"/>
        <v>-</v>
      </c>
      <c r="R38">
        <v>-6.0000000000000001E-3</v>
      </c>
      <c r="S38">
        <v>-6.7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-0.65</v>
      </c>
      <c r="D39">
        <v>-17.8</v>
      </c>
      <c r="E39" t="str">
        <f t="shared" si="0"/>
        <v>-</v>
      </c>
      <c r="F39">
        <v>-2.5999999999999999E-2</v>
      </c>
      <c r="G39">
        <v>-12</v>
      </c>
      <c r="H39" t="str">
        <f t="shared" si="1"/>
        <v>-</v>
      </c>
      <c r="I39" s="1">
        <v>-0.51</v>
      </c>
      <c r="J39">
        <v>-16</v>
      </c>
      <c r="K39" t="str">
        <f t="shared" si="2"/>
        <v>-</v>
      </c>
      <c r="L39">
        <v>-0.02</v>
      </c>
      <c r="M39">
        <v>-11.8</v>
      </c>
      <c r="N39" t="str">
        <f t="shared" si="3"/>
        <v>-</v>
      </c>
      <c r="O39" s="1">
        <v>-0.35</v>
      </c>
      <c r="P39">
        <v>-11.2</v>
      </c>
      <c r="Q39" t="str">
        <f t="shared" si="4"/>
        <v>-</v>
      </c>
      <c r="R39">
        <v>-1.9E-2</v>
      </c>
      <c r="S39">
        <v>-10.9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-0.13</v>
      </c>
      <c r="D40">
        <v>-12.5</v>
      </c>
      <c r="E40" t="str">
        <f t="shared" si="0"/>
        <v>-</v>
      </c>
      <c r="F40">
        <v>4.1000000000000002E-2</v>
      </c>
      <c r="G40">
        <v>53.2</v>
      </c>
      <c r="H40" t="str">
        <f t="shared" si="1"/>
        <v>?</v>
      </c>
      <c r="I40" s="1">
        <v>0.18</v>
      </c>
      <c r="J40">
        <v>31</v>
      </c>
      <c r="K40" t="str">
        <f t="shared" si="2"/>
        <v>-</v>
      </c>
      <c r="L40">
        <v>7.9000000000000001E-2</v>
      </c>
      <c r="M40">
        <v>202.6</v>
      </c>
      <c r="N40" t="str">
        <f t="shared" si="3"/>
        <v>?</v>
      </c>
      <c r="O40" s="1">
        <v>0.05</v>
      </c>
      <c r="P40">
        <v>7.9</v>
      </c>
      <c r="Q40" t="str">
        <f t="shared" si="4"/>
        <v>-</v>
      </c>
      <c r="R40">
        <v>4.0000000000000001E-3</v>
      </c>
      <c r="S40">
        <v>7.7</v>
      </c>
      <c r="T40" s="2" t="str">
        <f t="shared" si="5"/>
        <v>-</v>
      </c>
    </row>
    <row r="41" spans="1:20">
      <c r="A41" s="11" t="s">
        <v>9</v>
      </c>
      <c r="B41" s="13">
        <v>0.7</v>
      </c>
      <c r="C41">
        <v>-0.77</v>
      </c>
      <c r="D41">
        <v>-39.5</v>
      </c>
      <c r="E41" t="str">
        <f t="shared" si="0"/>
        <v>-</v>
      </c>
      <c r="F41">
        <v>-2.4E-2</v>
      </c>
      <c r="G41">
        <v>-17.5</v>
      </c>
      <c r="H41" t="str">
        <f t="shared" si="1"/>
        <v>-</v>
      </c>
      <c r="I41" s="1">
        <v>-0.63</v>
      </c>
      <c r="J41">
        <v>-33.9</v>
      </c>
      <c r="K41" t="str">
        <f t="shared" si="2"/>
        <v>-</v>
      </c>
      <c r="L41">
        <v>-2.4E-2</v>
      </c>
      <c r="M41">
        <v>-17</v>
      </c>
      <c r="N41" t="str">
        <f t="shared" si="3"/>
        <v>-</v>
      </c>
      <c r="O41" s="1">
        <v>-0.59</v>
      </c>
      <c r="P41">
        <v>-32.200000000000003</v>
      </c>
      <c r="Q41" t="str">
        <f t="shared" si="4"/>
        <v>-</v>
      </c>
      <c r="R41">
        <v>-1.7000000000000001E-2</v>
      </c>
      <c r="S41">
        <v>-12.1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-0.9</v>
      </c>
      <c r="D42">
        <v>-47.4</v>
      </c>
      <c r="E42" t="str">
        <f t="shared" si="0"/>
        <v>-</v>
      </c>
      <c r="F42">
        <v>-1.9E-2</v>
      </c>
      <c r="G42">
        <v>-17</v>
      </c>
      <c r="H42" t="str">
        <f t="shared" si="1"/>
        <v>-</v>
      </c>
      <c r="I42" s="1">
        <v>-0.81</v>
      </c>
      <c r="J42">
        <v>-49.1</v>
      </c>
      <c r="K42" t="str">
        <f t="shared" si="2"/>
        <v>-</v>
      </c>
      <c r="L42">
        <v>-1.2E-2</v>
      </c>
      <c r="M42">
        <v>-13.2</v>
      </c>
      <c r="N42" t="str">
        <f t="shared" si="3"/>
        <v>-</v>
      </c>
      <c r="O42" s="1">
        <v>-0.6</v>
      </c>
      <c r="P42">
        <v>-36.1</v>
      </c>
      <c r="Q42" t="str">
        <f t="shared" si="4"/>
        <v>-</v>
      </c>
      <c r="R42">
        <v>-8.0000000000000002E-3</v>
      </c>
      <c r="S42">
        <v>-8.1999999999999993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-1.6</v>
      </c>
      <c r="D43">
        <v>-32.5</v>
      </c>
      <c r="E43" t="str">
        <f t="shared" si="0"/>
        <v>-</v>
      </c>
      <c r="F43">
        <v>-0.04</v>
      </c>
      <c r="G43">
        <v>-16.100000000000001</v>
      </c>
      <c r="H43" t="str">
        <f t="shared" si="1"/>
        <v>-</v>
      </c>
      <c r="I43" s="1">
        <v>-0.77</v>
      </c>
      <c r="J43">
        <v>-17.399999999999999</v>
      </c>
      <c r="K43" t="str">
        <f t="shared" si="2"/>
        <v>-</v>
      </c>
      <c r="L43">
        <v>-1E-3</v>
      </c>
      <c r="M43">
        <v>-0.5</v>
      </c>
      <c r="N43" t="str">
        <f t="shared" si="3"/>
        <v>-</v>
      </c>
      <c r="O43" s="1">
        <v>-0.68</v>
      </c>
      <c r="P43">
        <v>-15.6</v>
      </c>
      <c r="Q43" t="str">
        <f t="shared" si="4"/>
        <v>-</v>
      </c>
      <c r="R43">
        <v>-5.0000000000000001E-3</v>
      </c>
      <c r="S43">
        <v>-2.2999999999999998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-0.34</v>
      </c>
      <c r="D44">
        <v>-32.4</v>
      </c>
      <c r="E44" t="str">
        <f t="shared" si="0"/>
        <v>-</v>
      </c>
      <c r="F44">
        <v>-8.0000000000000002E-3</v>
      </c>
      <c r="G44">
        <v>-9.3000000000000007</v>
      </c>
      <c r="H44" t="str">
        <f t="shared" si="1"/>
        <v>-</v>
      </c>
      <c r="I44" s="1">
        <v>7.0000000000000007E-2</v>
      </c>
      <c r="J44">
        <v>11.7</v>
      </c>
      <c r="K44" t="str">
        <f t="shared" si="2"/>
        <v>-</v>
      </c>
      <c r="L44">
        <v>2.4E-2</v>
      </c>
      <c r="M44">
        <v>46.2</v>
      </c>
      <c r="N44" t="str">
        <f t="shared" si="3"/>
        <v>-</v>
      </c>
      <c r="O44" s="1">
        <v>-0.26</v>
      </c>
      <c r="P44">
        <v>-27.4</v>
      </c>
      <c r="Q44" t="str">
        <f t="shared" si="4"/>
        <v>-</v>
      </c>
      <c r="R44">
        <v>-2.5999999999999999E-2</v>
      </c>
      <c r="S44">
        <v>-31.7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-0.63</v>
      </c>
      <c r="D45">
        <v>-25.2</v>
      </c>
      <c r="E45" t="str">
        <f t="shared" si="0"/>
        <v>-</v>
      </c>
      <c r="F45">
        <v>6.0000000000000001E-3</v>
      </c>
      <c r="G45">
        <v>4.0999999999999996</v>
      </c>
      <c r="H45" t="str">
        <f t="shared" si="1"/>
        <v>-</v>
      </c>
      <c r="I45" s="1">
        <v>0.59</v>
      </c>
      <c r="J45">
        <v>24.1</v>
      </c>
      <c r="K45" t="str">
        <f t="shared" si="2"/>
        <v>-</v>
      </c>
      <c r="L45">
        <v>-5.0000000000000001E-3</v>
      </c>
      <c r="M45">
        <v>-3.1</v>
      </c>
      <c r="N45" t="str">
        <f t="shared" si="3"/>
        <v>-</v>
      </c>
      <c r="O45" s="1">
        <v>0.85</v>
      </c>
      <c r="P45">
        <v>33.6</v>
      </c>
      <c r="Q45" t="str">
        <f t="shared" si="4"/>
        <v>-</v>
      </c>
      <c r="R45">
        <v>-0.02</v>
      </c>
      <c r="S45">
        <v>-11.5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-0.05</v>
      </c>
      <c r="D46">
        <v>-2.1</v>
      </c>
      <c r="E46" t="str">
        <f t="shared" si="0"/>
        <v>-</v>
      </c>
      <c r="F46">
        <v>1.9E-2</v>
      </c>
      <c r="G46">
        <v>19</v>
      </c>
      <c r="H46" t="str">
        <f t="shared" si="1"/>
        <v>-</v>
      </c>
      <c r="I46" s="1">
        <v>2.83</v>
      </c>
      <c r="J46">
        <v>129.19999999999999</v>
      </c>
      <c r="K46" t="str">
        <f t="shared" si="2"/>
        <v>?</v>
      </c>
      <c r="L46">
        <v>9.7000000000000003E-2</v>
      </c>
      <c r="M46">
        <v>82.9</v>
      </c>
      <c r="N46" t="str">
        <f t="shared" si="3"/>
        <v>?</v>
      </c>
      <c r="O46" s="1">
        <v>3.23</v>
      </c>
      <c r="P46">
        <v>148.80000000000001</v>
      </c>
      <c r="Q46" t="str">
        <f t="shared" si="4"/>
        <v>?</v>
      </c>
      <c r="R46">
        <v>0.106</v>
      </c>
      <c r="S46">
        <v>83.5</v>
      </c>
      <c r="T46" s="2" t="str">
        <f t="shared" si="5"/>
        <v>?</v>
      </c>
    </row>
    <row r="47" spans="1:20">
      <c r="A47" s="11" t="s">
        <v>12</v>
      </c>
      <c r="B47" s="13">
        <v>0.8</v>
      </c>
      <c r="C47">
        <v>-1.1100000000000001</v>
      </c>
      <c r="D47">
        <v>-18</v>
      </c>
      <c r="E47" t="str">
        <f t="shared" si="0"/>
        <v>-</v>
      </c>
      <c r="F47">
        <v>-6.8000000000000005E-2</v>
      </c>
      <c r="G47">
        <v>-22.7</v>
      </c>
      <c r="H47" t="str">
        <f t="shared" si="1"/>
        <v>-</v>
      </c>
      <c r="I47" s="1">
        <v>1.38</v>
      </c>
      <c r="J47">
        <v>25.3</v>
      </c>
      <c r="K47" t="str">
        <f t="shared" si="2"/>
        <v>-</v>
      </c>
      <c r="L47">
        <v>-1.0999999999999999E-2</v>
      </c>
      <c r="M47">
        <v>-4.0999999999999996</v>
      </c>
      <c r="N47" t="str">
        <f t="shared" si="3"/>
        <v>-</v>
      </c>
      <c r="O47" s="1">
        <v>1.76</v>
      </c>
      <c r="P47">
        <v>33</v>
      </c>
      <c r="Q47" t="str">
        <f t="shared" si="4"/>
        <v>-</v>
      </c>
      <c r="R47">
        <v>-3.0000000000000001E-3</v>
      </c>
      <c r="S47">
        <v>-1.2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2.73</v>
      </c>
      <c r="D48">
        <v>211.6</v>
      </c>
      <c r="E48" t="str">
        <f t="shared" si="0"/>
        <v>?</v>
      </c>
      <c r="F48">
        <v>-2.5999999999999999E-2</v>
      </c>
      <c r="G48">
        <v>-25</v>
      </c>
      <c r="H48" t="str">
        <f t="shared" si="1"/>
        <v>-</v>
      </c>
      <c r="I48" s="1">
        <v>4.1500000000000004</v>
      </c>
      <c r="J48">
        <v>446.2</v>
      </c>
      <c r="K48" t="str">
        <f t="shared" si="2"/>
        <v>?</v>
      </c>
      <c r="L48">
        <v>3.0000000000000001E-3</v>
      </c>
      <c r="M48">
        <v>3.9</v>
      </c>
      <c r="N48" t="str">
        <f t="shared" si="3"/>
        <v>-</v>
      </c>
      <c r="O48" s="1">
        <v>3.77</v>
      </c>
      <c r="P48">
        <v>304</v>
      </c>
      <c r="Q48" t="str">
        <f t="shared" si="4"/>
        <v>?</v>
      </c>
      <c r="R48">
        <v>0.02</v>
      </c>
      <c r="S48">
        <v>31.3</v>
      </c>
      <c r="T48" s="2" t="str">
        <f t="shared" si="5"/>
        <v>-</v>
      </c>
    </row>
    <row r="49" spans="1:20">
      <c r="A49" s="11" t="s">
        <v>9</v>
      </c>
      <c r="B49" s="13">
        <v>0.9</v>
      </c>
      <c r="C49">
        <v>3.2</v>
      </c>
      <c r="D49">
        <v>61</v>
      </c>
      <c r="E49" t="str">
        <f t="shared" si="0"/>
        <v>?</v>
      </c>
      <c r="F49">
        <v>1.2E-2</v>
      </c>
      <c r="G49">
        <v>5.4</v>
      </c>
      <c r="H49" t="str">
        <f t="shared" si="1"/>
        <v>-</v>
      </c>
      <c r="I49" s="1">
        <v>2.59</v>
      </c>
      <c r="J49">
        <v>48.1</v>
      </c>
      <c r="K49" t="str">
        <f t="shared" si="2"/>
        <v>-</v>
      </c>
      <c r="L49">
        <v>-9.6000000000000002E-2</v>
      </c>
      <c r="M49">
        <v>-30.9</v>
      </c>
      <c r="N49" t="str">
        <f t="shared" si="3"/>
        <v>-</v>
      </c>
      <c r="O49" s="1">
        <v>2.68</v>
      </c>
      <c r="P49">
        <v>50.2</v>
      </c>
      <c r="Q49" t="str">
        <f t="shared" si="4"/>
        <v>?</v>
      </c>
      <c r="R49">
        <v>-7.5999999999999998E-2</v>
      </c>
      <c r="S49">
        <v>-26</v>
      </c>
      <c r="T49" s="2" t="str">
        <f t="shared" si="5"/>
        <v>-</v>
      </c>
    </row>
    <row r="50" spans="1:20">
      <c r="A50" s="11" t="s">
        <v>11</v>
      </c>
      <c r="B50" s="13">
        <v>0.9</v>
      </c>
      <c r="C50">
        <v>5.1100000000000003</v>
      </c>
      <c r="D50">
        <v>124</v>
      </c>
      <c r="E50" t="str">
        <f t="shared" si="0"/>
        <v>?</v>
      </c>
      <c r="F50">
        <v>7.0999999999999994E-2</v>
      </c>
      <c r="G50">
        <v>44.7</v>
      </c>
      <c r="H50" t="str">
        <f t="shared" si="1"/>
        <v>-</v>
      </c>
      <c r="I50" s="1">
        <v>5.48</v>
      </c>
      <c r="J50">
        <v>136.30000000000001</v>
      </c>
      <c r="K50" t="str">
        <f t="shared" si="2"/>
        <v>?</v>
      </c>
      <c r="L50">
        <v>2.5000000000000001E-2</v>
      </c>
      <c r="M50">
        <v>13.4</v>
      </c>
      <c r="N50" t="str">
        <f t="shared" si="3"/>
        <v>-</v>
      </c>
      <c r="O50" s="1">
        <v>5.5</v>
      </c>
      <c r="P50">
        <v>138.19999999999999</v>
      </c>
      <c r="Q50" t="str">
        <f t="shared" si="4"/>
        <v>?</v>
      </c>
      <c r="R50">
        <v>2.7E-2</v>
      </c>
      <c r="S50">
        <v>14.4</v>
      </c>
      <c r="T50" s="2" t="str">
        <f t="shared" si="5"/>
        <v>-</v>
      </c>
    </row>
    <row r="51" spans="1:20">
      <c r="A51" s="11" t="s">
        <v>12</v>
      </c>
      <c r="B51" s="13">
        <v>0.9</v>
      </c>
      <c r="C51">
        <v>-2.2999999999999998</v>
      </c>
      <c r="D51">
        <v>-21.7</v>
      </c>
      <c r="E51" t="str">
        <f t="shared" si="0"/>
        <v>-</v>
      </c>
      <c r="F51">
        <v>-0.252</v>
      </c>
      <c r="G51">
        <v>-64.599999999999994</v>
      </c>
      <c r="H51" t="str">
        <f t="shared" si="1"/>
        <v>?</v>
      </c>
      <c r="I51" s="1">
        <v>-1.47</v>
      </c>
      <c r="J51">
        <v>-15.1</v>
      </c>
      <c r="K51" t="str">
        <f t="shared" si="2"/>
        <v>-</v>
      </c>
      <c r="L51">
        <v>-0.27300000000000002</v>
      </c>
      <c r="M51">
        <v>-66.599999999999994</v>
      </c>
      <c r="N51" t="str">
        <f t="shared" si="3"/>
        <v>?</v>
      </c>
      <c r="O51" s="1">
        <v>-1.41</v>
      </c>
      <c r="P51">
        <v>-14.6</v>
      </c>
      <c r="Q51" t="str">
        <f t="shared" si="4"/>
        <v>-</v>
      </c>
      <c r="R51">
        <v>-0.26</v>
      </c>
      <c r="S51">
        <v>-65.2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4.51</v>
      </c>
      <c r="D52">
        <v>172.8</v>
      </c>
      <c r="E52" t="str">
        <f t="shared" si="0"/>
        <v>?</v>
      </c>
      <c r="F52">
        <v>9.1999999999999998E-2</v>
      </c>
      <c r="G52">
        <v>122.7</v>
      </c>
      <c r="H52" t="str">
        <f t="shared" si="1"/>
        <v>?</v>
      </c>
      <c r="I52" s="1">
        <v>4.5199999999999996</v>
      </c>
      <c r="J52">
        <v>183</v>
      </c>
      <c r="K52" t="str">
        <f t="shared" si="2"/>
        <v>?</v>
      </c>
      <c r="L52">
        <v>0.17199999999999999</v>
      </c>
      <c r="M52">
        <v>245.7</v>
      </c>
      <c r="N52" t="str">
        <f t="shared" si="3"/>
        <v>?</v>
      </c>
      <c r="O52" s="1">
        <v>4.26</v>
      </c>
      <c r="P52">
        <v>152.1</v>
      </c>
      <c r="Q52" t="str">
        <f t="shared" si="4"/>
        <v>?</v>
      </c>
      <c r="R52">
        <v>0.158</v>
      </c>
      <c r="S52">
        <v>169.9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-0.22479166666666661</v>
      </c>
      <c r="D56">
        <f>AVERAGE(D$5:D$52)</f>
        <v>-6.5958333333333314</v>
      </c>
      <c r="F56">
        <f>AVERAGE(F$5:F$52)</f>
        <v>-6.8958333333333328E-3</v>
      </c>
      <c r="G56">
        <f>AVERAGE(G$5:G$52)</f>
        <v>9.7604166666666661</v>
      </c>
      <c r="H56" s="25"/>
      <c r="I56" s="1">
        <f>AVERAGE(I$5:I$52)</f>
        <v>7.7499999999999999E-2</v>
      </c>
      <c r="J56">
        <f>AVERAGE(J$5:J$52)</f>
        <v>10.458333333333336</v>
      </c>
      <c r="L56">
        <f>AVERAGE(L$5:L$52)</f>
        <v>-3.4374999999999996E-3</v>
      </c>
      <c r="M56">
        <f>AVERAGE(M$5:M$52)</f>
        <v>17.77291666666666</v>
      </c>
      <c r="N56" s="2"/>
      <c r="O56" s="25">
        <f>AVERAGE(O$5:O$52)</f>
        <v>7.1250000000000105E-2</v>
      </c>
      <c r="P56">
        <f>AVERAGE(P$5:P$52)</f>
        <v>1.9208333333333318</v>
      </c>
      <c r="R56">
        <f>AVERAGE(R$5:R$52)</f>
        <v>-4.3749999999999995E-3</v>
      </c>
      <c r="S56">
        <f>AVERAGE(S$5:S$52)</f>
        <v>11.612499999999999</v>
      </c>
      <c r="T56" s="25"/>
    </row>
    <row r="57" spans="1:20">
      <c r="B57" s="4" t="s">
        <v>20</v>
      </c>
      <c r="C57" s="25">
        <f>MEDIAN(C$5:C$52)</f>
        <v>-0.34</v>
      </c>
      <c r="D57">
        <f>MEDIAN(D$5:D$52)</f>
        <v>-20.100000000000001</v>
      </c>
      <c r="F57">
        <f>MEDIAN(F$5:F$52)</f>
        <v>-8.5000000000000006E-3</v>
      </c>
      <c r="G57">
        <f>MEDIAN(G$5:G$52)</f>
        <v>-7.45</v>
      </c>
      <c r="H57" s="25"/>
      <c r="I57" s="1">
        <f>MEDIAN(I$5:I$52)</f>
        <v>-0.24</v>
      </c>
      <c r="J57">
        <f>MEDIAN(J$5:J$52)</f>
        <v>-15.6</v>
      </c>
      <c r="L57">
        <f>MEDIAN(L$5:L$52)</f>
        <v>-6.5000000000000006E-3</v>
      </c>
      <c r="M57">
        <f>MEDIAN(M$5:M$52)</f>
        <v>-4.6500000000000004</v>
      </c>
      <c r="N57" s="2"/>
      <c r="O57" s="25">
        <f>MEDIAN(O$5:O$52)</f>
        <v>-0.28000000000000003</v>
      </c>
      <c r="P57">
        <f>MEDIAN(P$5:P$52)</f>
        <v>-16.75</v>
      </c>
      <c r="R57">
        <f>MEDIAN(R$5:R$52)</f>
        <v>-5.4999999999999997E-3</v>
      </c>
      <c r="S57">
        <f>MEDIAN(S$5:S$52)</f>
        <v>-4.55</v>
      </c>
      <c r="T57" s="25"/>
    </row>
    <row r="58" spans="1:20">
      <c r="B58" s="4" t="s">
        <v>21</v>
      </c>
      <c r="C58" s="25">
        <f>STDEV(C$5:C$52)</f>
        <v>1.4303458733382939</v>
      </c>
      <c r="D58">
        <f>STDEV(D$5:D$52)</f>
        <v>50.948463565806499</v>
      </c>
      <c r="F58">
        <f>STDEV(F$5:F$52)</f>
        <v>5.1296069935036367E-2</v>
      </c>
      <c r="G58">
        <f>STDEV(G$5:G$52)</f>
        <v>47.445353737874662</v>
      </c>
      <c r="H58" s="25"/>
      <c r="I58" s="1">
        <f>STDEV(I$5:I$52)</f>
        <v>1.4789537705145313</v>
      </c>
      <c r="J58">
        <f>STDEV(J$5:J$52)</f>
        <v>80.085443289965966</v>
      </c>
      <c r="L58">
        <f>STDEV(L$5:L$52)</f>
        <v>5.9585056762259628E-2</v>
      </c>
      <c r="M58">
        <f>STDEV(M$5:M$52)</f>
        <v>64.011138457546622</v>
      </c>
      <c r="N58" s="2"/>
      <c r="O58" s="25">
        <f>STDEV(O$5:O$52)</f>
        <v>1.4622798070282423</v>
      </c>
      <c r="P58">
        <f>STDEV(P$5:P$52)</f>
        <v>63.266262591285603</v>
      </c>
      <c r="R58">
        <f>STDEV(R$5:R$52)</f>
        <v>5.582138117016347E-2</v>
      </c>
      <c r="S58">
        <f>STDEV(S$5:S$52)</f>
        <v>50.549392845228873</v>
      </c>
      <c r="T58" s="25"/>
    </row>
    <row r="59" spans="1:20">
      <c r="B59" s="4" t="s">
        <v>22</v>
      </c>
      <c r="C59" s="25">
        <f>COUNTIF(C$5:C$52, "&lt;0")</f>
        <v>37</v>
      </c>
      <c r="D59">
        <f>COUNTIF(D$5:D$52, "&lt;0")</f>
        <v>37</v>
      </c>
      <c r="F59">
        <f>COUNTIF(F$5:F$52, "&lt;0")</f>
        <v>28</v>
      </c>
      <c r="G59">
        <f>COUNTIF(G$5:G$52, "&lt;0")</f>
        <v>28</v>
      </c>
      <c r="H59" s="25"/>
      <c r="I59" s="1">
        <f>COUNTIF(I$5:I$52, "&lt;0")</f>
        <v>30</v>
      </c>
      <c r="J59">
        <f>COUNTIF(J$5:J$52, "&lt;0")</f>
        <v>30</v>
      </c>
      <c r="L59">
        <f>COUNTIF(L$5:L$52, "&lt;0")</f>
        <v>30</v>
      </c>
      <c r="M59">
        <f>COUNTIF(M$5:M$52, "&lt;0")</f>
        <v>30</v>
      </c>
      <c r="N59" s="2"/>
      <c r="O59" s="25">
        <f>COUNTIF(O$5:O$52, "&lt;0")</f>
        <v>34</v>
      </c>
      <c r="P59">
        <f>COUNTIF(P$5:P$52, "&lt;0")</f>
        <v>34</v>
      </c>
      <c r="R59">
        <f>COUNTIF(R$5:R$52, "&lt;0")</f>
        <v>31</v>
      </c>
      <c r="S59">
        <f>COUNTIF(S$5:S$52, "&lt;0")</f>
        <v>31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-0.57750000000000001</v>
      </c>
      <c r="D63">
        <f>AVERAGE(D$5:D$28)</f>
        <v>-18.595833333333328</v>
      </c>
      <c r="F63">
        <f>AVERAGE(F$5:F$28)</f>
        <v>-3.8333333333333344E-3</v>
      </c>
      <c r="G63">
        <f>AVERAGE(G$5:G$28)</f>
        <v>8.85</v>
      </c>
      <c r="H63" s="25"/>
      <c r="I63" s="1">
        <f>AVERAGE(I$5:I$28)</f>
        <v>-0.43999999999999995</v>
      </c>
      <c r="J63">
        <f>AVERAGE(J$5:J$28)</f>
        <v>-10.725</v>
      </c>
      <c r="L63">
        <f>AVERAGE(L$5:L$28)</f>
        <v>-3.2083333333333321E-3</v>
      </c>
      <c r="M63">
        <f>AVERAGE(M$5:M$28)</f>
        <v>15.891666666666666</v>
      </c>
      <c r="N63" s="2"/>
      <c r="O63" s="25">
        <f>AVERAGE(O$5:O$28)</f>
        <v>-0.45583333333333326</v>
      </c>
      <c r="P63">
        <f>AVERAGE(P$5:P$28)</f>
        <v>-18.69166666666667</v>
      </c>
      <c r="R63">
        <f>AVERAGE(R$5:R$28)</f>
        <v>-2.9583333333333336E-3</v>
      </c>
      <c r="S63">
        <f>AVERAGE(S$5:S$28)</f>
        <v>12.779166666666667</v>
      </c>
      <c r="T63" s="25"/>
    </row>
    <row r="64" spans="1:20">
      <c r="B64" s="4" t="s">
        <v>20</v>
      </c>
      <c r="C64" s="25">
        <f>MEDIAN(C$5:C$28)</f>
        <v>-0.31000000000000005</v>
      </c>
      <c r="D64">
        <f>MEDIAN(D$5:D$28)</f>
        <v>-20.2</v>
      </c>
      <c r="F64">
        <f>MEDIAN(F$5:F$28)</f>
        <v>-3.5000000000000001E-3</v>
      </c>
      <c r="G64">
        <f>MEDIAN(G$5:G$28)</f>
        <v>-3</v>
      </c>
      <c r="H64" s="25"/>
      <c r="I64" s="1">
        <f>MEDIAN(I$5:I$28)</f>
        <v>-0.42000000000000004</v>
      </c>
      <c r="J64">
        <f>MEDIAN(J$5:J$28)</f>
        <v>-18.049999999999997</v>
      </c>
      <c r="L64">
        <f>MEDIAN(L$5:L$28)</f>
        <v>-8.9999999999999993E-3</v>
      </c>
      <c r="M64">
        <f>MEDIAN(M$5:M$28)</f>
        <v>-7.1999999999999993</v>
      </c>
      <c r="N64" s="2"/>
      <c r="O64" s="25">
        <f>MEDIAN(O$5:O$28)</f>
        <v>-0.33499999999999996</v>
      </c>
      <c r="P64">
        <f>MEDIAN(P$5:P$28)</f>
        <v>-21.6</v>
      </c>
      <c r="R64">
        <f>MEDIAN(R$5:R$28)</f>
        <v>-8.0000000000000002E-3</v>
      </c>
      <c r="S64">
        <f>MEDIAN(S$5:S$28)</f>
        <v>-5</v>
      </c>
      <c r="T64" s="25"/>
    </row>
    <row r="65" spans="2:20">
      <c r="B65" s="4" t="s">
        <v>21</v>
      </c>
      <c r="C65" s="25">
        <f>STDEV(C$5:C$28)</f>
        <v>0.71977804549917235</v>
      </c>
      <c r="D65">
        <f>STDEV(D$5:D$28)</f>
        <v>18.291919792907063</v>
      </c>
      <c r="F65">
        <f>STDEV(F$5:F$28)</f>
        <v>3.1922006402380521E-2</v>
      </c>
      <c r="G65">
        <f>STDEV(G$5:G$28)</f>
        <v>39.144525965241655</v>
      </c>
      <c r="H65" s="25"/>
      <c r="I65" s="1">
        <f>STDEV(I$5:I$28)</f>
        <v>0.56920997883030855</v>
      </c>
      <c r="J65">
        <f>STDEV(J$5:J$28)</f>
        <v>28.488765901819892</v>
      </c>
      <c r="L65">
        <f>STDEV(L$5:L$28)</f>
        <v>3.7041667685561032E-2</v>
      </c>
      <c r="M65">
        <f>STDEV(M$5:M$28)</f>
        <v>57.979958431428223</v>
      </c>
      <c r="N65" s="2"/>
      <c r="O65" s="25">
        <f>STDEV(O$5:O$28)</f>
        <v>0.47950986449178251</v>
      </c>
      <c r="P65">
        <f>STDEV(P$5:P$28)</f>
        <v>17.033902681995986</v>
      </c>
      <c r="R65">
        <f>STDEV(R$5:R$28)</f>
        <v>3.5226569970464874E-2</v>
      </c>
      <c r="S65">
        <f>STDEV(S$5:S$28)</f>
        <v>51.260739949252851</v>
      </c>
      <c r="T65" s="25"/>
    </row>
    <row r="66" spans="2:20">
      <c r="B66" s="4" t="s">
        <v>22</v>
      </c>
      <c r="C66" s="25">
        <f>COUNTIF(C$5:C$28, "&lt;0")</f>
        <v>19</v>
      </c>
      <c r="D66">
        <f>COUNTIF(D$5:D$28, "&lt;0")</f>
        <v>19</v>
      </c>
      <c r="F66">
        <f>COUNTIF(F$5:F$28, "&lt;0")</f>
        <v>13</v>
      </c>
      <c r="G66">
        <f>COUNTIF(G$5:G$28, "&lt;0")</f>
        <v>13</v>
      </c>
      <c r="H66" s="25"/>
      <c r="I66" s="1">
        <f>COUNTIF(I$5:I$28, "&lt;0")</f>
        <v>17</v>
      </c>
      <c r="J66">
        <f>COUNTIF(J$5:J$28, "&lt;0")</f>
        <v>17</v>
      </c>
      <c r="L66">
        <f>COUNTIF(L$5:L$28, "&lt;0")</f>
        <v>15</v>
      </c>
      <c r="M66">
        <f>COUNTIF(M$5:M$28, "&lt;0")</f>
        <v>15</v>
      </c>
      <c r="N66" s="2"/>
      <c r="O66" s="25">
        <f>COUNTIF(O$5:O$28, "&lt;0")</f>
        <v>21</v>
      </c>
      <c r="P66">
        <f>COUNTIF(P$5:P$28, "&lt;0")</f>
        <v>21</v>
      </c>
      <c r="R66">
        <f>COUNTIF(R$5:R$28, "&lt;0")</f>
        <v>15</v>
      </c>
      <c r="S66">
        <f>COUNTIF(S$5:S$28, "&lt;0")</f>
        <v>15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0.12791666666666665</v>
      </c>
      <c r="D70">
        <f>AVERAGE(D$29:D$52)</f>
        <v>5.4041666666666686</v>
      </c>
      <c r="F70">
        <f>AVERAGE(F$29:F$52)</f>
        <v>-9.9583333333333347E-3</v>
      </c>
      <c r="G70">
        <f>AVERAGE(G$29:G$52)</f>
        <v>10.670833333333336</v>
      </c>
      <c r="H70" s="25"/>
      <c r="I70" s="1">
        <f>AVERAGE(I$29:I$52)</f>
        <v>0.59499999999999997</v>
      </c>
      <c r="J70">
        <f>AVERAGE(J$29:J$52)</f>
        <v>31.641666666666666</v>
      </c>
      <c r="L70">
        <f>AVERAGE(L$29:L$52)</f>
        <v>-3.6666666666666675E-3</v>
      </c>
      <c r="M70">
        <f>AVERAGE(M$29:M$52)</f>
        <v>19.654166666666665</v>
      </c>
      <c r="N70" s="2"/>
      <c r="O70" s="25">
        <f>AVERAGE(O$29:O$52)</f>
        <v>0.59833333333333338</v>
      </c>
      <c r="P70">
        <f>AVERAGE(P$29:P$52)</f>
        <v>22.533333333333331</v>
      </c>
      <c r="R70">
        <f>AVERAGE(R$29:R$52)</f>
        <v>-5.7916666666666663E-3</v>
      </c>
      <c r="S70">
        <f>AVERAGE(S$29:S$52)</f>
        <v>10.445833333333333</v>
      </c>
      <c r="T70" s="25"/>
    </row>
    <row r="71" spans="2:20">
      <c r="B71" s="4" t="s">
        <v>20</v>
      </c>
      <c r="C71" s="25">
        <f>MEDIAN(C$29:C$52)</f>
        <v>-0.39</v>
      </c>
      <c r="D71">
        <f>MEDIAN(D$29:D$52)</f>
        <v>-19.850000000000001</v>
      </c>
      <c r="F71">
        <f>MEDIAN(F$29:F$52)</f>
        <v>-1.15E-2</v>
      </c>
      <c r="G71">
        <f>MEDIAN(G$29:G$52)</f>
        <v>-9.4499999999999993</v>
      </c>
      <c r="H71" s="25"/>
      <c r="I71" s="1">
        <f>MEDIAN(I$29:I$52)</f>
        <v>-0.15</v>
      </c>
      <c r="J71">
        <f>MEDIAN(J$29:J$52)</f>
        <v>-12.25</v>
      </c>
      <c r="L71">
        <f>MEDIAN(L$29:L$52)</f>
        <v>-4.0000000000000001E-3</v>
      </c>
      <c r="M71">
        <f>MEDIAN(M$29:M$52)</f>
        <v>-3.2</v>
      </c>
      <c r="N71" s="2"/>
      <c r="O71" s="25">
        <f>MEDIAN(O$29:O$52)</f>
        <v>-0.23</v>
      </c>
      <c r="P71">
        <f>MEDIAN(P$29:P$52)</f>
        <v>-12.899999999999999</v>
      </c>
      <c r="R71">
        <f>MEDIAN(R$29:R$52)</f>
        <v>-5.0000000000000001E-3</v>
      </c>
      <c r="S71">
        <f>MEDIAN(S$29:S$52)</f>
        <v>-3.8</v>
      </c>
      <c r="T71" s="25"/>
    </row>
    <row r="72" spans="2:20">
      <c r="B72" s="4" t="s">
        <v>21</v>
      </c>
      <c r="C72" s="25">
        <f>STDEV(C$29:C$52)</f>
        <v>1.844729222893458</v>
      </c>
      <c r="D72">
        <f>STDEV(D$29:D$52)</f>
        <v>68.331795891152638</v>
      </c>
      <c r="F72">
        <f>STDEV(F$29:F$52)</f>
        <v>6.5866451952064517E-2</v>
      </c>
      <c r="G72">
        <f>STDEV(G$29:G$52)</f>
        <v>55.371217442047389</v>
      </c>
      <c r="H72" s="25"/>
      <c r="I72" s="1">
        <f>STDEV(I$29:I$52)</f>
        <v>1.8938871919024571</v>
      </c>
      <c r="J72">
        <f>STDEV(J$29:J$52)</f>
        <v>106.57445618038558</v>
      </c>
      <c r="L72">
        <f>STDEV(L$29:L$52)</f>
        <v>7.6700244694732786E-2</v>
      </c>
      <c r="M72">
        <f>STDEV(M$29:M$52)</f>
        <v>70.738526365191134</v>
      </c>
      <c r="N72" s="2"/>
      <c r="O72" s="25">
        <f>STDEV(O$29:O$52)</f>
        <v>1.8867355443974529</v>
      </c>
      <c r="P72">
        <f>STDEV(P$29:P$52)</f>
        <v>83.680446350681436</v>
      </c>
      <c r="R72">
        <f>STDEV(R$29:R$52)</f>
        <v>7.1571174162608872E-2</v>
      </c>
      <c r="S72">
        <f>STDEV(S$29:S$52)</f>
        <v>50.902609305004894</v>
      </c>
      <c r="T72" s="25"/>
    </row>
    <row r="73" spans="2:20">
      <c r="B73" s="4" t="s">
        <v>22</v>
      </c>
      <c r="C73" s="25">
        <f>COUNTIF(C$29:C$52, "&lt;0")</f>
        <v>18</v>
      </c>
      <c r="D73">
        <f>COUNTIF(D$29:D$52, "&lt;0")</f>
        <v>18</v>
      </c>
      <c r="F73">
        <f>COUNTIF(F$29:F$52, "&lt;0")</f>
        <v>15</v>
      </c>
      <c r="G73">
        <f>COUNTIF(G$29:G$52, "&lt;0")</f>
        <v>15</v>
      </c>
      <c r="H73" s="25"/>
      <c r="I73" s="1">
        <f>COUNTIF(I$29:I$52, "&lt;0")</f>
        <v>13</v>
      </c>
      <c r="J73">
        <f>COUNTIF(J$29:J$52, "&lt;0")</f>
        <v>13</v>
      </c>
      <c r="L73">
        <f>COUNTIF(L$29:L$52, "&lt;0")</f>
        <v>15</v>
      </c>
      <c r="M73">
        <f>COUNTIF(M$29:M$52, "&lt;0")</f>
        <v>15</v>
      </c>
      <c r="N73" s="2"/>
      <c r="O73" s="25">
        <f>COUNTIF(O$29:O$52, "&lt;0")</f>
        <v>13</v>
      </c>
      <c r="P73">
        <f>COUNTIF(P$29:P$52, "&lt;0")</f>
        <v>13</v>
      </c>
      <c r="R73">
        <f>COUNTIF(R$29:R$52, "&lt;0")</f>
        <v>16</v>
      </c>
      <c r="S73">
        <f>COUNTIF(S$29:S$52, "&lt;0")</f>
        <v>16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-2.534722222222215E-2</v>
      </c>
      <c r="D77">
        <f>AVERAGE(D$5:D$52,J$5:J$52,P$5:P$52)</f>
        <v>1.9277777777777791</v>
      </c>
      <c r="F77">
        <f>AVERAGE(F$5:F$52,L$5:L$52,R$5:R$52)</f>
        <v>-4.9027777777777785E-3</v>
      </c>
      <c r="G77">
        <f>AVERAGE(G$5:G$52,M$5:M$52,S$5:S$52)</f>
        <v>13.048611111111114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-0.30499999999999999</v>
      </c>
      <c r="D78">
        <f>MEDIAN(D$5:D$52,J$5:J$52,P$5:P$52)</f>
        <v>-17.549999999999997</v>
      </c>
      <c r="F78">
        <f>MEDIAN(F$5:F$52,L$5:L$52,R$5:R$52)</f>
        <v>-6.0000000000000001E-3</v>
      </c>
      <c r="G78">
        <f>MEDIAN(G$5:G$52,M$5:M$52,S$5:S$52)</f>
        <v>-5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1.4540115298522494</v>
      </c>
      <c r="D79">
        <f>STDEV(D$5:D$52,J$5:J$52,P$5:P$52)</f>
        <v>65.768525475936755</v>
      </c>
      <c r="F79">
        <f>STDEV(F$5:F$52,L$5:L$52,R$5:R$52)</f>
        <v>5.5299479561587546E-2</v>
      </c>
      <c r="G79">
        <f>STDEV(G$5:G$52,M$5:M$52,S$5:S$52)</f>
        <v>54.205290927095504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101</v>
      </c>
      <c r="D80">
        <f>COUNTIF(D$5:D$52, "&lt;0")+COUNTIF(J$5:J$52, "&lt;0")+COUNTIF(P$5:P$52, "&lt;0")</f>
        <v>101</v>
      </c>
      <c r="F80">
        <f>COUNTIF(F$5:F$52, "&lt;0")+COUNTIF(L$5:L$52, "&lt;0")+COUNTIF(R$5:R$52, "&lt;0")</f>
        <v>89</v>
      </c>
      <c r="G80">
        <f>COUNTIF(G$5:G$52, "&lt;0")+COUNTIF(M$5:M$52, "&lt;0")+COUNTIF(S$5:S$52, "&lt;0")</f>
        <v>89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0.88895833333333352</v>
      </c>
      <c r="D83" cm="1">
        <f t="array" ref="D83">AVERAGE(ABS(D$5:D$52),ABS(J$5:J$52),ABS(P$5:P$52))</f>
        <v>37.724999999999994</v>
      </c>
      <c r="F83" cm="1">
        <f t="array" ref="F83">AVERAGE(ABS(F$5:F$52),ABS(L$5:L$52),ABS(R$5:R$52))</f>
        <v>3.4166666666666644E-2</v>
      </c>
      <c r="G83" cm="1">
        <f t="array" ref="G83">AVERAGE(ABS(G$5:G$52),ABS(M$5:M$52),ABS(S$5:S$52))</f>
        <v>32.868055555555543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0.505</v>
      </c>
      <c r="D84" cm="1">
        <f t="array" ref="D84">MEDIAN(ABS(D$5:D$52),ABS(J$5:J$52),ABS(P$5:P$52))</f>
        <v>26.4</v>
      </c>
      <c r="F84" cm="1">
        <f t="array" ref="F84">MEDIAN(ABS(F$5:F$52),ABS(L$5:L$52),ABS(R$5:R$52))</f>
        <v>2.1999999999999999E-2</v>
      </c>
      <c r="G84" cm="1">
        <f t="array" ref="G84">MEDIAN(ABS(G$5:G$52),ABS(M$5:M$52),ABS(S$5:S$52))</f>
        <v>17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1.1484874326117513</v>
      </c>
      <c r="D85" cm="1">
        <f t="array" ref="D85">STDEV(ABS(D$5:D$52),ABS(J$5:J$52),ABS(P$5:P$52))</f>
        <v>53.815549394606734</v>
      </c>
      <c r="F85" cm="1">
        <f t="array" ref="F85">STDEV(ABS(F$5:F$52),ABS(L$5:L$52),ABS(R$5:R$52))</f>
        <v>4.3665928213119293E-2</v>
      </c>
      <c r="G85" cm="1">
        <f t="array" ref="G85">STDEV(ABS(G$5:G$52),ABS(M$5:M$52),ABS(S$5:S$52))</f>
        <v>44.964506052933608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-0.49111111111111122</v>
      </c>
      <c r="D89">
        <f>AVERAGE(D$5:D$28,J$5:J$28,P$5:P$28)</f>
        <v>-16.004166666666663</v>
      </c>
      <c r="F89">
        <f>AVERAGE(F$5:F$28,L$5:L$28,R$5:R$28)</f>
        <v>-3.3333333333333344E-3</v>
      </c>
      <c r="G89">
        <f>AVERAGE(G$5:G$28,M$5:M$28,S$5:S$28)</f>
        <v>12.506944444444445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-0.34499999999999997</v>
      </c>
      <c r="D90">
        <f>MEDIAN(D$5:D$28,J$5:J$28,P$5:P$28)</f>
        <v>-19.049999999999997</v>
      </c>
      <c r="F90">
        <f>MEDIAN(F$5:F$28,L$5:L$28,R$5:R$28)</f>
        <v>-6.0000000000000001E-3</v>
      </c>
      <c r="G90">
        <f>MEDIAN(G$5:G$28,M$5:M$28,S$5:S$28)</f>
        <v>-5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0.59253467374754887</v>
      </c>
      <c r="D91">
        <f>STDEV(D$5:D$28,J$5:J$28,P$5:P$28)</f>
        <v>21.895928218169047</v>
      </c>
      <c r="F91">
        <f>STDEV(F$5:F$28,L$5:L$28,R$5:R$28)</f>
        <v>3.4303122676399483E-2</v>
      </c>
      <c r="G91">
        <f>STDEV(G$5:G$28,M$5:M$28,S$5:S$28)</f>
        <v>49.446976370878552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57</v>
      </c>
      <c r="D92">
        <f>COUNTIF(D$5:D$28, "&lt;0")+COUNTIF(J$5:J$28, "&lt;0")+COUNTIF(P$5:P$28, "&lt;0")</f>
        <v>57</v>
      </c>
      <c r="F92">
        <f>COUNTIF(F$5:F$28, "&lt;0")+COUNTIF(L$5:L$28, "&lt;0")+COUNTIF(R$5:R$28, "&lt;0")</f>
        <v>43</v>
      </c>
      <c r="G92">
        <f>COUNTIF(G$5:G$28, "&lt;0")+COUNTIF(M$5:M$28, "&lt;0")+COUNTIF(S$5:S$28, "&lt;0")</f>
        <v>43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0.5461111111111111</v>
      </c>
      <c r="D95" cm="1">
        <f t="array" ref="D95">AVERAGE(ABS(D$5:D$28),ABS(J$5:J$28),ABS(P$5:P$28))</f>
        <v>23.426388888888887</v>
      </c>
      <c r="F95" cm="1">
        <f t="array" ref="F95">AVERAGE(ABS(F$5:F$28),ABS(L$5:L$28),ABS(R$5:R$28))</f>
        <v>2.7083333333333327E-2</v>
      </c>
      <c r="G95" cm="1">
        <f t="array" ref="G95">AVERAGE(ABS(G$5:G$28),ABS(M$5:M$28),ABS(S$5:S$28))</f>
        <v>30.4236111111111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0.34499999999999997</v>
      </c>
      <c r="D96" cm="1">
        <f t="array" ref="D96">MEDIAN(ABS(D$5:D$28),ABS(J$5:J$28),ABS(P$5:P$28))</f>
        <v>23.15</v>
      </c>
      <c r="F96" cm="1">
        <f t="array" ref="F96">MEDIAN(ABS(F$5:F$28),ABS(L$5:L$28),ABS(R$5:R$28))</f>
        <v>2.1499999999999998E-2</v>
      </c>
      <c r="G96" cm="1">
        <f t="array" ref="G96">MEDIAN(ABS(G$5:G$28),ABS(M$5:M$28),ABS(S$5:S$28))</f>
        <v>17.05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0.54152251603027746</v>
      </c>
      <c r="D97" cm="1">
        <f t="array" ref="D97">STDEV(ABS(D$5:D$28),ABS(J$5:J$28),ABS(P$5:P$28))</f>
        <v>13.514707617535823</v>
      </c>
      <c r="F97" cm="1">
        <f t="array" ref="F97">STDEV(ABS(F$5:F$28),ABS(L$5:L$28),ABS(R$5:R$28))</f>
        <v>2.1074482266876724E-2</v>
      </c>
      <c r="G97" cm="1">
        <f t="array" ref="G97">STDEV(ABS(G$5:G$28),ABS(M$5:M$28),ABS(S$5:S$28))</f>
        <v>40.804382162674905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0.44041666666666679</v>
      </c>
      <c r="D101">
        <f>AVERAGE(D$29:D$52,J$29:J$52,P$29:P$52)</f>
        <v>19.859722222222224</v>
      </c>
      <c r="F101">
        <f>AVERAGE(F$29:F$52,L$29:L$52,R$29:R$52)</f>
        <v>-6.4722222222222264E-3</v>
      </c>
      <c r="G101">
        <f>AVERAGE(G$29:G$52,M$29:M$52,S$29:S$52)</f>
        <v>13.590277777777777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-0.245</v>
      </c>
      <c r="D102">
        <f>MEDIAN(D$29:D$52,J$29:J$52,P$29:P$52)</f>
        <v>-15.8</v>
      </c>
      <c r="F102">
        <f>MEDIAN(F$29:F$52,L$29:L$52,R$29:R$52)</f>
        <v>-7.0000000000000001E-3</v>
      </c>
      <c r="G102">
        <f>MEDIAN(G$29:G$52,M$29:M$52,S$29:S$52)</f>
        <v>-5.4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1.8619870027987706</v>
      </c>
      <c r="D103">
        <f>STDEV(D$29:D$52,J$29:J$52,P$29:P$52)</f>
        <v>87.065042320600469</v>
      </c>
      <c r="F103">
        <f>STDEV(F$29:F$52,L$29:L$52,R$29:R$52)</f>
        <v>7.0550944977694638E-2</v>
      </c>
      <c r="G103">
        <f>STDEV(G$29:G$52,M$29:M$52,S$29:S$52)</f>
        <v>58.925477308020938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44</v>
      </c>
      <c r="D104">
        <f>COUNTIF(D$29:D$52, "&lt;0")+COUNTIF(J$29:J$52, "&lt;0")+COUNTIF(P$29:P$52, "&lt;0")</f>
        <v>44</v>
      </c>
      <c r="F104">
        <f>COUNTIF(F$29:F$52, "&lt;0")+COUNTIF(L$29:L$52, "&lt;0")+COUNTIF(R$29:R$52, "&lt;0")</f>
        <v>46</v>
      </c>
      <c r="G104">
        <f>COUNTIF(G$29:G$52, "&lt;0")+COUNTIF(M$29:M$52, "&lt;0")+COUNTIF(S$29:S$52, "&lt;0")</f>
        <v>46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1.2318055555555558</v>
      </c>
      <c r="D107" cm="1">
        <f t="array" ref="D107">AVERAGE(ABS(D$29:D$52),ABS(J$29:J$52),ABS(P$29:P$52))</f>
        <v>52.023611111111109</v>
      </c>
      <c r="F107" cm="1">
        <f t="array" ref="F107">AVERAGE(ABS(F$29:F$52),ABS(L$29:L$52),ABS(R$29:R$52))</f>
        <v>4.1249999999999981E-2</v>
      </c>
      <c r="G107" cm="1">
        <f t="array" ref="G107">AVERAGE(ABS(G$29:G$52),ABS(M$29:M$52),ABS(S$29:S$52))</f>
        <v>35.312499999999993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0.63</v>
      </c>
      <c r="D108" cm="1">
        <f t="array" ref="D108">MEDIAN(ABS(D$29:D$52),ABS(J$29:J$52),ABS(P$29:P$52))</f>
        <v>30.7</v>
      </c>
      <c r="F108" cm="1">
        <f t="array" ref="F108">MEDIAN(ABS(F$29:F$52),ABS(L$29:L$52),ABS(R$29:R$52))</f>
        <v>2.35E-2</v>
      </c>
      <c r="G108" cm="1">
        <f t="array" ref="G108">MEDIAN(ABS(G$29:G$52),ABS(M$29:M$52),ABS(S$29:S$52))</f>
        <v>17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1.457730559532197</v>
      </c>
      <c r="D109" cm="1">
        <f t="array" ref="D109">STDEV(ABS(D$29:D$52),ABS(J$29:J$52),ABS(P$29:P$52))</f>
        <v>72.358206155513685</v>
      </c>
      <c r="F109" cm="1">
        <f t="array" ref="F109">STDEV(ABS(F$29:F$52),ABS(L$29:L$52),ABS(R$29:R$52))</f>
        <v>5.7396753601084996E-2</v>
      </c>
      <c r="G109" cm="1">
        <f t="array" ref="G109">STDEV(ABS(G$29:G$52),ABS(M$29:M$52),ABS(S$29:S$52))</f>
        <v>48.938463623524044</v>
      </c>
      <c r="H109" s="25"/>
      <c r="N109" s="2"/>
      <c r="O109" s="25"/>
      <c r="T109" s="25"/>
    </row>
  </sheetData>
  <mergeCells count="10">
    <mergeCell ref="O2:T2"/>
    <mergeCell ref="O3:Q3"/>
    <mergeCell ref="R3:T3"/>
    <mergeCell ref="C1:T1"/>
    <mergeCell ref="I2:N2"/>
    <mergeCell ref="I3:K3"/>
    <mergeCell ref="L3:N3"/>
    <mergeCell ref="C3:E3"/>
    <mergeCell ref="F3:H3"/>
    <mergeCell ref="C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0EE6-F179-4443-849E-00523D2AA2E3}">
  <dimension ref="A1:T109"/>
  <sheetViews>
    <sheetView topLeftCell="A37" workbookViewId="0">
      <selection activeCell="D57" sqref="D57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29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-1.59</v>
      </c>
      <c r="D5">
        <v>-50.6</v>
      </c>
      <c r="E5" t="str">
        <f>IF(ABS(D5)&gt;50,"?","-")</f>
        <v>?</v>
      </c>
      <c r="F5">
        <v>-5.0000000000000001E-3</v>
      </c>
      <c r="G5">
        <v>-3.4</v>
      </c>
      <c r="H5" t="str">
        <f>IF(ABS(G5)&gt;50,"?","-")</f>
        <v>-</v>
      </c>
      <c r="I5" s="1">
        <v>-1.38</v>
      </c>
      <c r="J5">
        <v>-45.8</v>
      </c>
      <c r="K5" t="str">
        <f>IF(ABS(J5)&gt;50,"?","-")</f>
        <v>-</v>
      </c>
      <c r="L5">
        <v>-2.1999999999999999E-2</v>
      </c>
      <c r="M5">
        <v>-12.6</v>
      </c>
      <c r="N5" t="str">
        <f>IF(ABS(M5)&gt;50,"?","-")</f>
        <v>-</v>
      </c>
      <c r="O5" s="1">
        <v>-1.42</v>
      </c>
      <c r="P5">
        <v>-46.9</v>
      </c>
      <c r="Q5" t="str">
        <f>IF(ABS(P5)&gt;50,"?","-")</f>
        <v>-</v>
      </c>
      <c r="R5">
        <v>-3.4000000000000002E-2</v>
      </c>
      <c r="S5">
        <v>-18.899999999999999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-1.25</v>
      </c>
      <c r="D6">
        <v>-48.1</v>
      </c>
      <c r="E6" t="str">
        <f t="shared" ref="E6:E52" si="0">IF(ABS(D6)&gt;50,"?","-")</f>
        <v>-</v>
      </c>
      <c r="F6">
        <v>-4.0000000000000001E-3</v>
      </c>
      <c r="G6">
        <v>-3.7</v>
      </c>
      <c r="H6" t="str">
        <f t="shared" ref="H6:H52" si="1">IF(ABS(G6)&gt;50,"?","-")</f>
        <v>-</v>
      </c>
      <c r="I6" s="1">
        <v>-1.2</v>
      </c>
      <c r="J6">
        <v>-47.2</v>
      </c>
      <c r="K6" t="str">
        <f t="shared" ref="K6:K52" si="2">IF(ABS(J6)&gt;50,"?","-")</f>
        <v>-</v>
      </c>
      <c r="L6">
        <v>-2.3E-2</v>
      </c>
      <c r="M6">
        <v>-18.5</v>
      </c>
      <c r="N6" t="str">
        <f t="shared" ref="N6:N52" si="3">IF(ABS(M6)&gt;50,"?","-")</f>
        <v>-</v>
      </c>
      <c r="O6" s="1">
        <v>-1.1399999999999999</v>
      </c>
      <c r="P6">
        <v>-44.5</v>
      </c>
      <c r="Q6" t="str">
        <f t="shared" ref="Q6:Q52" si="4">IF(ABS(P6)&gt;50,"?","-")</f>
        <v>-</v>
      </c>
      <c r="R6">
        <v>-2.1999999999999999E-2</v>
      </c>
      <c r="S6">
        <v>-16.5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-2.11</v>
      </c>
      <c r="D7">
        <v>-30.5</v>
      </c>
      <c r="E7" t="str">
        <f t="shared" si="0"/>
        <v>-</v>
      </c>
      <c r="F7">
        <v>-2.9000000000000001E-2</v>
      </c>
      <c r="G7">
        <v>-8.6</v>
      </c>
      <c r="H7" t="str">
        <f t="shared" si="1"/>
        <v>-</v>
      </c>
      <c r="I7" s="1">
        <v>-1.75</v>
      </c>
      <c r="J7">
        <v>-29.4</v>
      </c>
      <c r="K7" t="str">
        <f t="shared" si="2"/>
        <v>-</v>
      </c>
      <c r="L7">
        <v>-2.3E-2</v>
      </c>
      <c r="M7">
        <v>-7.5</v>
      </c>
      <c r="N7" t="str">
        <f t="shared" si="3"/>
        <v>-</v>
      </c>
      <c r="O7" s="1">
        <v>-1.49</v>
      </c>
      <c r="P7">
        <v>-26.5</v>
      </c>
      <c r="Q7" t="str">
        <f t="shared" si="4"/>
        <v>-</v>
      </c>
      <c r="R7">
        <v>-2.1999999999999999E-2</v>
      </c>
      <c r="S7">
        <v>-7.4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0.09</v>
      </c>
      <c r="D8">
        <v>6.5</v>
      </c>
      <c r="E8" t="str">
        <f t="shared" si="0"/>
        <v>-</v>
      </c>
      <c r="F8">
        <v>0.03</v>
      </c>
      <c r="G8">
        <v>28.8</v>
      </c>
      <c r="H8" t="str">
        <f t="shared" si="1"/>
        <v>-</v>
      </c>
      <c r="I8" s="1">
        <v>-0.06</v>
      </c>
      <c r="J8">
        <v>-5</v>
      </c>
      <c r="K8" t="str">
        <f t="shared" si="2"/>
        <v>-</v>
      </c>
      <c r="L8">
        <v>3.6999999999999998E-2</v>
      </c>
      <c r="M8">
        <v>44.6</v>
      </c>
      <c r="N8" t="str">
        <f t="shared" si="3"/>
        <v>-</v>
      </c>
      <c r="O8" s="1">
        <v>0.28000000000000003</v>
      </c>
      <c r="P8">
        <v>23.3</v>
      </c>
      <c r="Q8" t="str">
        <f t="shared" si="4"/>
        <v>-</v>
      </c>
      <c r="R8">
        <v>7.9000000000000001E-2</v>
      </c>
      <c r="S8">
        <v>112.9</v>
      </c>
      <c r="T8" s="2" t="str">
        <f t="shared" si="5"/>
        <v>?</v>
      </c>
    </row>
    <row r="9" spans="1:20">
      <c r="A9" s="11" t="s">
        <v>9</v>
      </c>
      <c r="B9" s="12" t="s">
        <v>14</v>
      </c>
      <c r="C9">
        <v>-0.75</v>
      </c>
      <c r="D9">
        <v>-34.1</v>
      </c>
      <c r="E9" t="str">
        <f t="shared" si="0"/>
        <v>-</v>
      </c>
      <c r="F9">
        <v>-1.9E-2</v>
      </c>
      <c r="G9">
        <v>-13.8</v>
      </c>
      <c r="H9" t="str">
        <f t="shared" si="1"/>
        <v>-</v>
      </c>
      <c r="I9" s="1">
        <v>-0.67</v>
      </c>
      <c r="J9">
        <v>-32.700000000000003</v>
      </c>
      <c r="K9" t="str">
        <f t="shared" si="2"/>
        <v>-</v>
      </c>
      <c r="L9">
        <v>-3.9E-2</v>
      </c>
      <c r="M9">
        <v>-25.3</v>
      </c>
      <c r="N9" t="str">
        <f t="shared" si="3"/>
        <v>-</v>
      </c>
      <c r="O9" s="1">
        <v>-0.64</v>
      </c>
      <c r="P9">
        <v>-31.8</v>
      </c>
      <c r="Q9" t="str">
        <f t="shared" si="4"/>
        <v>-</v>
      </c>
      <c r="R9">
        <v>-0.04</v>
      </c>
      <c r="S9">
        <v>-26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-0.48</v>
      </c>
      <c r="D10">
        <v>-27.1</v>
      </c>
      <c r="E10" t="str">
        <f t="shared" si="0"/>
        <v>-</v>
      </c>
      <c r="F10">
        <v>-1.2999999999999999E-2</v>
      </c>
      <c r="G10">
        <v>-11.9</v>
      </c>
      <c r="H10" t="str">
        <f t="shared" si="1"/>
        <v>-</v>
      </c>
      <c r="I10" s="1">
        <v>-0.62</v>
      </c>
      <c r="J10">
        <v>-34.4</v>
      </c>
      <c r="K10" t="str">
        <f t="shared" si="2"/>
        <v>-</v>
      </c>
      <c r="L10">
        <v>-1.9E-2</v>
      </c>
      <c r="M10">
        <v>-15.2</v>
      </c>
      <c r="N10" t="str">
        <f t="shared" si="3"/>
        <v>-</v>
      </c>
      <c r="O10" s="1">
        <v>-0.48</v>
      </c>
      <c r="P10">
        <v>-27.3</v>
      </c>
      <c r="Q10" t="str">
        <f t="shared" si="4"/>
        <v>-</v>
      </c>
      <c r="R10">
        <v>-1.4E-2</v>
      </c>
      <c r="S10">
        <v>-12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-2.09</v>
      </c>
      <c r="D11">
        <v>-40.6</v>
      </c>
      <c r="E11" t="str">
        <f t="shared" si="0"/>
        <v>-</v>
      </c>
      <c r="F11">
        <v>-3.9E-2</v>
      </c>
      <c r="G11">
        <v>-14.1</v>
      </c>
      <c r="H11" t="str">
        <f t="shared" si="1"/>
        <v>-</v>
      </c>
      <c r="I11" s="1">
        <v>-0.52</v>
      </c>
      <c r="J11">
        <v>-12</v>
      </c>
      <c r="K11" t="str">
        <f t="shared" si="2"/>
        <v>-</v>
      </c>
      <c r="L11">
        <v>2E-3</v>
      </c>
      <c r="M11">
        <v>0.9</v>
      </c>
      <c r="N11" t="str">
        <f t="shared" si="3"/>
        <v>-</v>
      </c>
      <c r="O11" s="1">
        <v>-0.75</v>
      </c>
      <c r="P11">
        <v>-16.8</v>
      </c>
      <c r="Q11" t="str">
        <f t="shared" si="4"/>
        <v>-</v>
      </c>
      <c r="R11">
        <v>3.0000000000000001E-3</v>
      </c>
      <c r="S11">
        <v>1.3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0.49</v>
      </c>
      <c r="D12">
        <v>81.7</v>
      </c>
      <c r="E12" t="str">
        <f t="shared" si="0"/>
        <v>?</v>
      </c>
      <c r="F12">
        <v>1.2E-2</v>
      </c>
      <c r="G12">
        <v>13.6</v>
      </c>
      <c r="H12" t="str">
        <f t="shared" si="1"/>
        <v>-</v>
      </c>
      <c r="I12" s="1">
        <v>0.14000000000000001</v>
      </c>
      <c r="J12">
        <v>23.3</v>
      </c>
      <c r="K12" t="str">
        <f t="shared" si="2"/>
        <v>-</v>
      </c>
      <c r="L12">
        <v>1E-3</v>
      </c>
      <c r="M12">
        <v>1.1000000000000001</v>
      </c>
      <c r="N12" t="str">
        <f t="shared" si="3"/>
        <v>-</v>
      </c>
      <c r="O12" s="1">
        <v>0.49</v>
      </c>
      <c r="P12">
        <v>86</v>
      </c>
      <c r="Q12" t="str">
        <f t="shared" si="4"/>
        <v>?</v>
      </c>
      <c r="R12">
        <v>2.8000000000000001E-2</v>
      </c>
      <c r="S12">
        <v>41.8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-0.31</v>
      </c>
      <c r="D13">
        <v>-18.3</v>
      </c>
      <c r="E13" t="str">
        <f t="shared" si="0"/>
        <v>-</v>
      </c>
      <c r="F13">
        <v>7.0000000000000001E-3</v>
      </c>
      <c r="G13">
        <v>5.2</v>
      </c>
      <c r="H13" t="str">
        <f t="shared" si="1"/>
        <v>-</v>
      </c>
      <c r="I13" s="1">
        <v>-0.37</v>
      </c>
      <c r="J13">
        <v>-21.9</v>
      </c>
      <c r="K13" t="str">
        <f t="shared" si="2"/>
        <v>-</v>
      </c>
      <c r="L13">
        <v>-0.02</v>
      </c>
      <c r="M13">
        <v>-13.6</v>
      </c>
      <c r="N13" t="str">
        <f t="shared" si="3"/>
        <v>-</v>
      </c>
      <c r="O13" s="1">
        <v>-0.31</v>
      </c>
      <c r="P13">
        <v>-19.899999999999999</v>
      </c>
      <c r="Q13" t="str">
        <f t="shared" si="4"/>
        <v>-</v>
      </c>
      <c r="R13">
        <v>-1.0999999999999999E-2</v>
      </c>
      <c r="S13">
        <v>-8.3000000000000007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-0.26</v>
      </c>
      <c r="D14">
        <v>-17.8</v>
      </c>
      <c r="E14" t="str">
        <f t="shared" si="0"/>
        <v>-</v>
      </c>
      <c r="F14">
        <v>-1.4999999999999999E-2</v>
      </c>
      <c r="G14">
        <v>-13.4</v>
      </c>
      <c r="H14" t="str">
        <f t="shared" si="1"/>
        <v>-</v>
      </c>
      <c r="I14" s="1">
        <v>-0.43</v>
      </c>
      <c r="J14">
        <v>-29.3</v>
      </c>
      <c r="K14" t="str">
        <f t="shared" si="2"/>
        <v>-</v>
      </c>
      <c r="L14">
        <v>-2.3E-2</v>
      </c>
      <c r="M14">
        <v>-22.1</v>
      </c>
      <c r="N14" t="str">
        <f t="shared" si="3"/>
        <v>-</v>
      </c>
      <c r="O14" s="1">
        <v>-0.31</v>
      </c>
      <c r="P14">
        <v>-20.7</v>
      </c>
      <c r="Q14" t="str">
        <f t="shared" si="4"/>
        <v>-</v>
      </c>
      <c r="R14">
        <v>-0.01</v>
      </c>
      <c r="S14">
        <v>-9.3000000000000007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-0.49</v>
      </c>
      <c r="D15">
        <v>-12.5</v>
      </c>
      <c r="E15" t="str">
        <f t="shared" si="0"/>
        <v>-</v>
      </c>
      <c r="F15">
        <v>1.0999999999999999E-2</v>
      </c>
      <c r="G15">
        <v>4.7</v>
      </c>
      <c r="H15" t="str">
        <f t="shared" si="1"/>
        <v>-</v>
      </c>
      <c r="I15" s="1">
        <v>-0.25</v>
      </c>
      <c r="J15">
        <v>-8</v>
      </c>
      <c r="K15" t="str">
        <f t="shared" si="2"/>
        <v>-</v>
      </c>
      <c r="L15">
        <v>2.1000000000000001E-2</v>
      </c>
      <c r="M15">
        <v>11.2</v>
      </c>
      <c r="N15" t="str">
        <f t="shared" si="3"/>
        <v>-</v>
      </c>
      <c r="O15" s="1">
        <v>-0.15</v>
      </c>
      <c r="P15">
        <v>-5.0999999999999996</v>
      </c>
      <c r="Q15" t="str">
        <f t="shared" si="4"/>
        <v>-</v>
      </c>
      <c r="R15">
        <v>2.7E-2</v>
      </c>
      <c r="S15">
        <v>15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0.35</v>
      </c>
      <c r="D16">
        <v>72.900000000000006</v>
      </c>
      <c r="E16" t="str">
        <f t="shared" si="0"/>
        <v>?</v>
      </c>
      <c r="F16">
        <v>5.6000000000000001E-2</v>
      </c>
      <c r="G16">
        <v>94.9</v>
      </c>
      <c r="H16" t="str">
        <f t="shared" si="1"/>
        <v>?</v>
      </c>
      <c r="I16" s="1">
        <v>0.28999999999999998</v>
      </c>
      <c r="J16">
        <v>58</v>
      </c>
      <c r="K16" t="str">
        <f t="shared" si="2"/>
        <v>?</v>
      </c>
      <c r="L16">
        <v>6.2E-2</v>
      </c>
      <c r="M16">
        <v>117</v>
      </c>
      <c r="N16" t="str">
        <f t="shared" si="3"/>
        <v>?</v>
      </c>
      <c r="O16" s="1">
        <v>7.0000000000000007E-2</v>
      </c>
      <c r="P16">
        <v>10</v>
      </c>
      <c r="Q16" t="str">
        <f t="shared" si="4"/>
        <v>-</v>
      </c>
      <c r="R16">
        <v>2.5000000000000001E-2</v>
      </c>
      <c r="S16">
        <v>48.1</v>
      </c>
      <c r="T16" s="2" t="str">
        <f t="shared" si="5"/>
        <v>-</v>
      </c>
    </row>
    <row r="17" spans="1:20">
      <c r="A17" s="11" t="s">
        <v>9</v>
      </c>
      <c r="B17" s="12" t="s">
        <v>16</v>
      </c>
      <c r="C17">
        <v>-0.39</v>
      </c>
      <c r="D17">
        <v>-24.1</v>
      </c>
      <c r="E17" t="str">
        <f t="shared" si="0"/>
        <v>-</v>
      </c>
      <c r="F17">
        <v>8.0000000000000002E-3</v>
      </c>
      <c r="G17">
        <v>6.4</v>
      </c>
      <c r="H17" t="str">
        <f t="shared" si="1"/>
        <v>-</v>
      </c>
      <c r="I17" s="1">
        <v>-0.32</v>
      </c>
      <c r="J17">
        <v>-22.5</v>
      </c>
      <c r="K17" t="str">
        <f t="shared" si="2"/>
        <v>-</v>
      </c>
      <c r="L17">
        <v>-0.01</v>
      </c>
      <c r="M17">
        <v>-8.1</v>
      </c>
      <c r="N17" t="str">
        <f t="shared" si="3"/>
        <v>-</v>
      </c>
      <c r="O17" s="1">
        <v>-0.27</v>
      </c>
      <c r="P17">
        <v>-19.3</v>
      </c>
      <c r="Q17" t="str">
        <f t="shared" si="4"/>
        <v>-</v>
      </c>
      <c r="R17">
        <v>-8.0000000000000002E-3</v>
      </c>
      <c r="S17">
        <v>-6.5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-0.24</v>
      </c>
      <c r="D18">
        <v>-18.3</v>
      </c>
      <c r="E18" t="str">
        <f t="shared" si="0"/>
        <v>-</v>
      </c>
      <c r="F18">
        <v>2E-3</v>
      </c>
      <c r="G18">
        <v>2.2000000000000002</v>
      </c>
      <c r="H18" t="str">
        <f t="shared" si="1"/>
        <v>-</v>
      </c>
      <c r="I18" s="1">
        <v>-0.44</v>
      </c>
      <c r="J18">
        <v>-33.299999999999997</v>
      </c>
      <c r="K18" t="str">
        <f t="shared" si="2"/>
        <v>-</v>
      </c>
      <c r="L18">
        <v>-4.3999999999999997E-2</v>
      </c>
      <c r="M18">
        <v>-38.299999999999997</v>
      </c>
      <c r="N18" t="str">
        <f t="shared" si="3"/>
        <v>-</v>
      </c>
      <c r="O18" s="1">
        <v>-0.28000000000000003</v>
      </c>
      <c r="P18">
        <v>-23.5</v>
      </c>
      <c r="Q18" t="str">
        <f t="shared" si="4"/>
        <v>-</v>
      </c>
      <c r="R18">
        <v>-0.03</v>
      </c>
      <c r="S18">
        <v>-30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0.04</v>
      </c>
      <c r="D19">
        <v>1.5</v>
      </c>
      <c r="E19" t="str">
        <f t="shared" si="0"/>
        <v>-</v>
      </c>
      <c r="F19">
        <v>0.01</v>
      </c>
      <c r="G19">
        <v>5.6</v>
      </c>
      <c r="H19" t="str">
        <f t="shared" si="1"/>
        <v>-</v>
      </c>
      <c r="I19" s="1">
        <v>-0.1</v>
      </c>
      <c r="J19">
        <v>-3.5</v>
      </c>
      <c r="K19" t="str">
        <f t="shared" si="2"/>
        <v>-</v>
      </c>
      <c r="L19">
        <v>-3.3000000000000002E-2</v>
      </c>
      <c r="M19">
        <v>-17</v>
      </c>
      <c r="N19" t="str">
        <f t="shared" si="3"/>
        <v>-</v>
      </c>
      <c r="O19" s="1">
        <v>-0.11</v>
      </c>
      <c r="P19">
        <v>-4.3</v>
      </c>
      <c r="Q19" t="str">
        <f t="shared" si="4"/>
        <v>-</v>
      </c>
      <c r="R19">
        <v>-1.6E-2</v>
      </c>
      <c r="S19">
        <v>-8.9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0.24</v>
      </c>
      <c r="D20">
        <v>53.3</v>
      </c>
      <c r="E20" t="str">
        <f t="shared" si="0"/>
        <v>?</v>
      </c>
      <c r="F20">
        <v>0.03</v>
      </c>
      <c r="G20">
        <v>55.6</v>
      </c>
      <c r="H20" t="str">
        <f t="shared" si="1"/>
        <v>?</v>
      </c>
      <c r="I20" s="1">
        <v>0.2</v>
      </c>
      <c r="J20">
        <v>40.799999999999997</v>
      </c>
      <c r="K20" t="str">
        <f t="shared" si="2"/>
        <v>-</v>
      </c>
      <c r="L20">
        <v>3.7999999999999999E-2</v>
      </c>
      <c r="M20">
        <v>66.7</v>
      </c>
      <c r="N20" t="str">
        <f t="shared" si="3"/>
        <v>?</v>
      </c>
      <c r="O20" s="1">
        <v>0.04</v>
      </c>
      <c r="P20">
        <v>6</v>
      </c>
      <c r="Q20" t="str">
        <f t="shared" si="4"/>
        <v>-</v>
      </c>
      <c r="R20">
        <v>4.1000000000000002E-2</v>
      </c>
      <c r="S20">
        <v>73.2</v>
      </c>
      <c r="T20" s="2" t="str">
        <f t="shared" si="5"/>
        <v>?</v>
      </c>
    </row>
    <row r="21" spans="1:20">
      <c r="A21" s="11" t="s">
        <v>9</v>
      </c>
      <c r="B21" s="12" t="s">
        <v>17</v>
      </c>
      <c r="C21">
        <v>-0.19</v>
      </c>
      <c r="D21">
        <v>-14.2</v>
      </c>
      <c r="E21" t="str">
        <f t="shared" si="0"/>
        <v>-</v>
      </c>
      <c r="F21">
        <v>2E-3</v>
      </c>
      <c r="G21">
        <v>1.8</v>
      </c>
      <c r="H21" t="str">
        <f t="shared" si="1"/>
        <v>-</v>
      </c>
      <c r="I21" s="1">
        <v>-0.27</v>
      </c>
      <c r="J21">
        <v>-20.6</v>
      </c>
      <c r="K21" t="str">
        <f t="shared" si="2"/>
        <v>-</v>
      </c>
      <c r="L21">
        <v>-2.4E-2</v>
      </c>
      <c r="M21">
        <v>-21.1</v>
      </c>
      <c r="N21" t="str">
        <f t="shared" si="3"/>
        <v>-</v>
      </c>
      <c r="O21" s="1">
        <v>-0.15</v>
      </c>
      <c r="P21">
        <v>-12.1</v>
      </c>
      <c r="Q21" t="str">
        <f t="shared" si="4"/>
        <v>-</v>
      </c>
      <c r="R21">
        <v>-1.4999999999999999E-2</v>
      </c>
      <c r="S21">
        <v>-13.6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-0.15</v>
      </c>
      <c r="D22">
        <v>-12.9</v>
      </c>
      <c r="E22" t="str">
        <f t="shared" si="0"/>
        <v>-</v>
      </c>
      <c r="F22">
        <v>1.2E-2</v>
      </c>
      <c r="G22">
        <v>12.5</v>
      </c>
      <c r="H22" t="str">
        <f t="shared" si="1"/>
        <v>-</v>
      </c>
      <c r="I22" s="1">
        <v>-7.0000000000000007E-2</v>
      </c>
      <c r="J22">
        <v>-6.4</v>
      </c>
      <c r="K22" t="str">
        <f t="shared" si="2"/>
        <v>-</v>
      </c>
      <c r="L22">
        <v>-4.0000000000000001E-3</v>
      </c>
      <c r="M22">
        <v>-4.5999999999999996</v>
      </c>
      <c r="N22" t="str">
        <f t="shared" si="3"/>
        <v>-</v>
      </c>
      <c r="O22" s="1">
        <v>-0.11</v>
      </c>
      <c r="P22">
        <v>-9.6999999999999993</v>
      </c>
      <c r="Q22" t="str">
        <f t="shared" si="4"/>
        <v>-</v>
      </c>
      <c r="R22">
        <v>2.3E-2</v>
      </c>
      <c r="S22">
        <v>28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-0.78</v>
      </c>
      <c r="D23">
        <v>-18.600000000000001</v>
      </c>
      <c r="E23" t="str">
        <f t="shared" si="0"/>
        <v>-</v>
      </c>
      <c r="F23">
        <v>-2.3E-2</v>
      </c>
      <c r="G23">
        <v>-10</v>
      </c>
      <c r="H23" t="str">
        <f t="shared" si="1"/>
        <v>-</v>
      </c>
      <c r="I23" s="1">
        <v>-0.92</v>
      </c>
      <c r="J23">
        <v>-24</v>
      </c>
      <c r="K23" t="str">
        <f t="shared" si="2"/>
        <v>-</v>
      </c>
      <c r="L23">
        <v>-1.6E-2</v>
      </c>
      <c r="M23">
        <v>-8</v>
      </c>
      <c r="N23" t="str">
        <f t="shared" si="3"/>
        <v>-</v>
      </c>
      <c r="O23" s="1">
        <v>-0.53</v>
      </c>
      <c r="P23">
        <v>-14.9</v>
      </c>
      <c r="Q23" t="str">
        <f t="shared" si="4"/>
        <v>-</v>
      </c>
      <c r="R23">
        <v>6.0000000000000001E-3</v>
      </c>
      <c r="S23">
        <v>3.3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-0.09</v>
      </c>
      <c r="D24">
        <v>-11.7</v>
      </c>
      <c r="E24" t="str">
        <f t="shared" si="0"/>
        <v>-</v>
      </c>
      <c r="F24">
        <v>2.1000000000000001E-2</v>
      </c>
      <c r="G24">
        <v>46.7</v>
      </c>
      <c r="H24" t="str">
        <f t="shared" si="1"/>
        <v>-</v>
      </c>
      <c r="I24" s="1">
        <v>0.28999999999999998</v>
      </c>
      <c r="J24">
        <v>61.7</v>
      </c>
      <c r="K24" t="str">
        <f t="shared" si="2"/>
        <v>?</v>
      </c>
      <c r="L24">
        <v>4.2000000000000003E-2</v>
      </c>
      <c r="M24">
        <v>73.7</v>
      </c>
      <c r="N24" t="str">
        <f t="shared" si="3"/>
        <v>?</v>
      </c>
      <c r="O24" s="1">
        <v>-0.01</v>
      </c>
      <c r="P24">
        <v>-1.5</v>
      </c>
      <c r="Q24" t="str">
        <f t="shared" si="4"/>
        <v>-</v>
      </c>
      <c r="R24">
        <v>3.5999999999999997E-2</v>
      </c>
      <c r="S24">
        <v>80</v>
      </c>
      <c r="T24" s="2" t="str">
        <f t="shared" si="5"/>
        <v>?</v>
      </c>
    </row>
    <row r="25" spans="1:20">
      <c r="A25" s="11" t="s">
        <v>9</v>
      </c>
      <c r="B25" s="12" t="s">
        <v>18</v>
      </c>
      <c r="C25">
        <v>0.21</v>
      </c>
      <c r="D25">
        <v>13.4</v>
      </c>
      <c r="E25" t="str">
        <f t="shared" si="0"/>
        <v>-</v>
      </c>
      <c r="F25">
        <v>-6.0000000000000001E-3</v>
      </c>
      <c r="G25">
        <v>-4.3</v>
      </c>
      <c r="H25" t="str">
        <f t="shared" si="1"/>
        <v>-</v>
      </c>
      <c r="I25" s="1">
        <v>-0.04</v>
      </c>
      <c r="J25">
        <v>-2.6</v>
      </c>
      <c r="K25" t="str">
        <f t="shared" si="2"/>
        <v>-</v>
      </c>
      <c r="L25">
        <v>-2E-3</v>
      </c>
      <c r="M25">
        <v>-1.7</v>
      </c>
      <c r="N25" t="str">
        <f t="shared" si="3"/>
        <v>-</v>
      </c>
      <c r="O25" s="1">
        <v>0.35</v>
      </c>
      <c r="P25">
        <v>26.3</v>
      </c>
      <c r="Q25" t="str">
        <f t="shared" si="4"/>
        <v>-</v>
      </c>
      <c r="R25">
        <v>-1E-3</v>
      </c>
      <c r="S25">
        <v>-0.9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-0.03</v>
      </c>
      <c r="D26">
        <v>-2.2000000000000002</v>
      </c>
      <c r="E26" t="str">
        <f t="shared" si="0"/>
        <v>-</v>
      </c>
      <c r="F26">
        <v>1.2999999999999999E-2</v>
      </c>
      <c r="G26">
        <v>12.7</v>
      </c>
      <c r="H26" t="str">
        <f t="shared" si="1"/>
        <v>-</v>
      </c>
      <c r="I26" s="1">
        <v>-0.3</v>
      </c>
      <c r="J26">
        <v>-19.5</v>
      </c>
      <c r="K26" t="str">
        <f t="shared" si="2"/>
        <v>-</v>
      </c>
      <c r="L26">
        <v>5.0000000000000001E-3</v>
      </c>
      <c r="M26">
        <v>4.9000000000000004</v>
      </c>
      <c r="N26" t="str">
        <f t="shared" si="3"/>
        <v>-</v>
      </c>
      <c r="O26" s="1">
        <v>-0.37</v>
      </c>
      <c r="P26">
        <v>-23.3</v>
      </c>
      <c r="Q26" t="str">
        <f t="shared" si="4"/>
        <v>-</v>
      </c>
      <c r="R26">
        <v>8.0000000000000002E-3</v>
      </c>
      <c r="S26">
        <v>8.4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-0.79</v>
      </c>
      <c r="D27">
        <v>-21.8</v>
      </c>
      <c r="E27" t="str">
        <f t="shared" si="0"/>
        <v>-</v>
      </c>
      <c r="F27">
        <v>-7.0999999999999994E-2</v>
      </c>
      <c r="G27">
        <v>-32</v>
      </c>
      <c r="H27" t="str">
        <f t="shared" si="1"/>
        <v>-</v>
      </c>
      <c r="I27" s="1">
        <v>-0.11</v>
      </c>
      <c r="J27">
        <v>-3</v>
      </c>
      <c r="K27" t="str">
        <f t="shared" si="2"/>
        <v>-</v>
      </c>
      <c r="L27">
        <v>-3.5999999999999997E-2</v>
      </c>
      <c r="M27">
        <v>-18.899999999999999</v>
      </c>
      <c r="N27" t="str">
        <f t="shared" si="3"/>
        <v>-</v>
      </c>
      <c r="O27" s="1">
        <v>-0.05</v>
      </c>
      <c r="P27">
        <v>-1.4</v>
      </c>
      <c r="Q27" t="str">
        <f t="shared" si="4"/>
        <v>-</v>
      </c>
      <c r="R27">
        <v>-4.5999999999999999E-2</v>
      </c>
      <c r="S27">
        <v>-24.7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-0.04</v>
      </c>
      <c r="D28">
        <v>-5.9</v>
      </c>
      <c r="E28" t="str">
        <f t="shared" si="0"/>
        <v>-</v>
      </c>
      <c r="F28">
        <v>2.4E-2</v>
      </c>
      <c r="G28">
        <v>61.5</v>
      </c>
      <c r="H28" t="str">
        <f t="shared" si="1"/>
        <v>?</v>
      </c>
      <c r="I28" s="1">
        <v>-7.0000000000000007E-2</v>
      </c>
      <c r="J28">
        <v>-9</v>
      </c>
      <c r="K28" t="str">
        <f t="shared" si="2"/>
        <v>-</v>
      </c>
      <c r="L28">
        <v>1.2999999999999999E-2</v>
      </c>
      <c r="M28">
        <v>21</v>
      </c>
      <c r="N28" t="str">
        <f t="shared" si="3"/>
        <v>-</v>
      </c>
      <c r="O28" s="1">
        <v>0.08</v>
      </c>
      <c r="P28">
        <v>11.9</v>
      </c>
      <c r="Q28" t="str">
        <f t="shared" si="4"/>
        <v>-</v>
      </c>
      <c r="R28">
        <v>5.1999999999999998E-2</v>
      </c>
      <c r="S28">
        <v>136.80000000000001</v>
      </c>
      <c r="T28" s="2" t="str">
        <f t="shared" si="5"/>
        <v>?</v>
      </c>
    </row>
    <row r="29" spans="1:20">
      <c r="A29" s="11" t="s">
        <v>9</v>
      </c>
      <c r="B29" s="13">
        <v>0.4</v>
      </c>
      <c r="C29">
        <v>-0.17</v>
      </c>
      <c r="D29">
        <v>-12.7</v>
      </c>
      <c r="E29" t="str">
        <f t="shared" si="0"/>
        <v>-</v>
      </c>
      <c r="F29">
        <v>-1.2E-2</v>
      </c>
      <c r="G29">
        <v>-10.5</v>
      </c>
      <c r="H29" t="str">
        <f t="shared" si="1"/>
        <v>-</v>
      </c>
      <c r="I29" s="1">
        <v>0.04</v>
      </c>
      <c r="J29">
        <v>3.6</v>
      </c>
      <c r="K29" t="str">
        <f t="shared" si="2"/>
        <v>-</v>
      </c>
      <c r="L29">
        <v>-8.9999999999999993E-3</v>
      </c>
      <c r="M29">
        <v>-9</v>
      </c>
      <c r="N29" t="str">
        <f t="shared" si="3"/>
        <v>-</v>
      </c>
      <c r="O29" s="1">
        <v>-0.22</v>
      </c>
      <c r="P29">
        <v>-20</v>
      </c>
      <c r="Q29" t="str">
        <f t="shared" si="4"/>
        <v>-</v>
      </c>
      <c r="R29">
        <v>-1.7000000000000001E-2</v>
      </c>
      <c r="S29">
        <v>-17.2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-0.01</v>
      </c>
      <c r="D30">
        <v>-0.8</v>
      </c>
      <c r="E30" t="str">
        <f t="shared" si="0"/>
        <v>-</v>
      </c>
      <c r="F30">
        <v>1.2E-2</v>
      </c>
      <c r="G30">
        <v>11.3</v>
      </c>
      <c r="H30" t="str">
        <f t="shared" si="1"/>
        <v>-</v>
      </c>
      <c r="I30" s="1">
        <v>-0.04</v>
      </c>
      <c r="J30">
        <v>-4.0999999999999996</v>
      </c>
      <c r="K30" t="str">
        <f t="shared" si="2"/>
        <v>-</v>
      </c>
      <c r="L30">
        <v>1.7000000000000001E-2</v>
      </c>
      <c r="M30">
        <v>21.3</v>
      </c>
      <c r="N30" t="str">
        <f t="shared" si="3"/>
        <v>-</v>
      </c>
      <c r="O30" s="1">
        <v>-0.01</v>
      </c>
      <c r="P30">
        <v>-0.9</v>
      </c>
      <c r="Q30" t="str">
        <f t="shared" si="4"/>
        <v>-</v>
      </c>
      <c r="R30">
        <v>1.4E-2</v>
      </c>
      <c r="S30">
        <v>15.2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-1.1000000000000001</v>
      </c>
      <c r="D31">
        <v>-38.1</v>
      </c>
      <c r="E31" t="str">
        <f t="shared" si="0"/>
        <v>-</v>
      </c>
      <c r="F31">
        <v>-2.3E-2</v>
      </c>
      <c r="G31">
        <v>-13.1</v>
      </c>
      <c r="H31" t="str">
        <f t="shared" si="1"/>
        <v>-</v>
      </c>
      <c r="I31" s="1">
        <v>-1.42</v>
      </c>
      <c r="J31">
        <v>-44.9</v>
      </c>
      <c r="K31" t="str">
        <f t="shared" si="2"/>
        <v>-</v>
      </c>
      <c r="L31">
        <v>-5.6000000000000001E-2</v>
      </c>
      <c r="M31">
        <v>-31.3</v>
      </c>
      <c r="N31" t="str">
        <f t="shared" si="3"/>
        <v>-</v>
      </c>
      <c r="O31" s="1">
        <v>-1.99</v>
      </c>
      <c r="P31">
        <v>-59.2</v>
      </c>
      <c r="Q31" t="str">
        <f t="shared" si="4"/>
        <v>?</v>
      </c>
      <c r="R31">
        <v>-8.5999999999999993E-2</v>
      </c>
      <c r="S31">
        <v>-44.8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0.14000000000000001</v>
      </c>
      <c r="D32">
        <v>16.100000000000001</v>
      </c>
      <c r="E32" t="str">
        <f t="shared" si="0"/>
        <v>-</v>
      </c>
      <c r="F32">
        <v>5.8000000000000003E-2</v>
      </c>
      <c r="G32">
        <v>95.1</v>
      </c>
      <c r="H32" t="str">
        <f t="shared" si="1"/>
        <v>?</v>
      </c>
      <c r="I32" s="1">
        <v>0.17</v>
      </c>
      <c r="J32">
        <v>27.4</v>
      </c>
      <c r="K32" t="str">
        <f t="shared" si="2"/>
        <v>-</v>
      </c>
      <c r="L32">
        <v>1.0999999999999999E-2</v>
      </c>
      <c r="M32">
        <v>16.399999999999999</v>
      </c>
      <c r="N32" t="str">
        <f t="shared" si="3"/>
        <v>-</v>
      </c>
      <c r="O32" s="1">
        <v>0.22</v>
      </c>
      <c r="P32">
        <v>39.299999999999997</v>
      </c>
      <c r="Q32" t="str">
        <f t="shared" si="4"/>
        <v>-</v>
      </c>
      <c r="R32">
        <v>1.7999999999999999E-2</v>
      </c>
      <c r="S32">
        <v>32.700000000000003</v>
      </c>
      <c r="T32" s="2" t="str">
        <f t="shared" si="5"/>
        <v>-</v>
      </c>
    </row>
    <row r="33" spans="1:20">
      <c r="A33" s="11" t="s">
        <v>9</v>
      </c>
      <c r="B33" s="13">
        <v>0.5</v>
      </c>
      <c r="C33">
        <v>-0.32</v>
      </c>
      <c r="D33">
        <v>-22.1</v>
      </c>
      <c r="E33" t="str">
        <f t="shared" si="0"/>
        <v>-</v>
      </c>
      <c r="F33">
        <v>-1.9E-2</v>
      </c>
      <c r="G33">
        <v>-14.4</v>
      </c>
      <c r="H33" t="str">
        <f t="shared" si="1"/>
        <v>-</v>
      </c>
      <c r="I33" s="1">
        <v>-0.26</v>
      </c>
      <c r="J33">
        <v>-19.7</v>
      </c>
      <c r="K33" t="str">
        <f t="shared" si="2"/>
        <v>-</v>
      </c>
      <c r="L33">
        <v>-1.7000000000000001E-2</v>
      </c>
      <c r="M33">
        <v>-14.3</v>
      </c>
      <c r="N33" t="str">
        <f t="shared" si="3"/>
        <v>-</v>
      </c>
      <c r="O33" s="1">
        <v>-0.31</v>
      </c>
      <c r="P33">
        <v>-23.5</v>
      </c>
      <c r="Q33" t="str">
        <f t="shared" si="4"/>
        <v>-</v>
      </c>
      <c r="R33">
        <v>-1.9E-2</v>
      </c>
      <c r="S33">
        <v>-16.399999999999999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-0.3</v>
      </c>
      <c r="D34">
        <v>-24.8</v>
      </c>
      <c r="E34" t="str">
        <f t="shared" si="0"/>
        <v>-</v>
      </c>
      <c r="F34">
        <v>-1.7000000000000001E-2</v>
      </c>
      <c r="G34">
        <v>-16</v>
      </c>
      <c r="H34" t="str">
        <f t="shared" si="1"/>
        <v>-</v>
      </c>
      <c r="I34" s="1">
        <v>-0.18</v>
      </c>
      <c r="J34">
        <v>-17.600000000000001</v>
      </c>
      <c r="K34" t="str">
        <f t="shared" si="2"/>
        <v>-</v>
      </c>
      <c r="L34">
        <v>4.0000000000000001E-3</v>
      </c>
      <c r="M34">
        <v>4.5999999999999996</v>
      </c>
      <c r="N34" t="str">
        <f t="shared" si="3"/>
        <v>-</v>
      </c>
      <c r="O34" s="1">
        <v>-0.33</v>
      </c>
      <c r="P34">
        <v>-28.4</v>
      </c>
      <c r="Q34" t="str">
        <f t="shared" si="4"/>
        <v>-</v>
      </c>
      <c r="R34">
        <v>1.0999999999999999E-2</v>
      </c>
      <c r="S34">
        <v>13.4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-0.92</v>
      </c>
      <c r="D35">
        <v>-27.6</v>
      </c>
      <c r="E35" t="str">
        <f t="shared" si="0"/>
        <v>-</v>
      </c>
      <c r="F35">
        <v>-5.2999999999999999E-2</v>
      </c>
      <c r="G35">
        <v>-26.9</v>
      </c>
      <c r="H35" t="str">
        <f t="shared" si="1"/>
        <v>-</v>
      </c>
      <c r="I35" s="1">
        <v>-0.71</v>
      </c>
      <c r="J35">
        <v>-25</v>
      </c>
      <c r="K35" t="str">
        <f t="shared" si="2"/>
        <v>-</v>
      </c>
      <c r="L35">
        <v>-5.0000000000000001E-3</v>
      </c>
      <c r="M35">
        <v>-3.5</v>
      </c>
      <c r="N35" t="str">
        <f t="shared" si="3"/>
        <v>-</v>
      </c>
      <c r="O35" s="1">
        <v>-0.88</v>
      </c>
      <c r="P35">
        <v>-29.8</v>
      </c>
      <c r="Q35" t="str">
        <f t="shared" si="4"/>
        <v>-</v>
      </c>
      <c r="R35">
        <v>-1.7999999999999999E-2</v>
      </c>
      <c r="S35">
        <v>-11.4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0.37</v>
      </c>
      <c r="D36">
        <v>57.8</v>
      </c>
      <c r="E36" t="str">
        <f t="shared" si="0"/>
        <v>?</v>
      </c>
      <c r="F36">
        <v>5.6000000000000001E-2</v>
      </c>
      <c r="G36">
        <v>109.8</v>
      </c>
      <c r="H36" t="str">
        <f t="shared" si="1"/>
        <v>?</v>
      </c>
      <c r="I36" s="1">
        <v>-0.21</v>
      </c>
      <c r="J36">
        <v>-24.4</v>
      </c>
      <c r="K36" t="str">
        <f t="shared" si="2"/>
        <v>-</v>
      </c>
      <c r="L36">
        <v>-4.0000000000000001E-3</v>
      </c>
      <c r="M36">
        <v>-4.5999999999999996</v>
      </c>
      <c r="N36" t="str">
        <f t="shared" si="3"/>
        <v>-</v>
      </c>
      <c r="O36" s="1">
        <v>0</v>
      </c>
      <c r="P36">
        <v>0</v>
      </c>
      <c r="Q36" t="str">
        <f t="shared" si="4"/>
        <v>-</v>
      </c>
      <c r="R36">
        <v>1.9E-2</v>
      </c>
      <c r="S36">
        <v>29.2</v>
      </c>
      <c r="T36" s="2" t="str">
        <f t="shared" si="5"/>
        <v>-</v>
      </c>
    </row>
    <row r="37" spans="1:20">
      <c r="A37" s="11" t="s">
        <v>9</v>
      </c>
      <c r="B37" s="13">
        <v>0.6</v>
      </c>
      <c r="C37">
        <v>-0.54</v>
      </c>
      <c r="D37">
        <v>-34.6</v>
      </c>
      <c r="E37" t="str">
        <f t="shared" si="0"/>
        <v>-</v>
      </c>
      <c r="F37">
        <v>-3.1E-2</v>
      </c>
      <c r="G37">
        <v>-22.8</v>
      </c>
      <c r="H37" t="str">
        <f t="shared" si="1"/>
        <v>-</v>
      </c>
      <c r="I37" s="1">
        <v>-0.44</v>
      </c>
      <c r="J37">
        <v>-29.5</v>
      </c>
      <c r="K37" t="str">
        <f t="shared" si="2"/>
        <v>-</v>
      </c>
      <c r="L37">
        <v>-2.4E-2</v>
      </c>
      <c r="M37">
        <v>-17.8</v>
      </c>
      <c r="N37" t="str">
        <f t="shared" si="3"/>
        <v>-</v>
      </c>
      <c r="O37" s="1">
        <v>-0.4</v>
      </c>
      <c r="P37">
        <v>-27</v>
      </c>
      <c r="Q37" t="str">
        <f t="shared" si="4"/>
        <v>-</v>
      </c>
      <c r="R37">
        <v>-2.4E-2</v>
      </c>
      <c r="S37">
        <v>-18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-0.49</v>
      </c>
      <c r="D38">
        <v>-34.799999999999997</v>
      </c>
      <c r="E38" t="str">
        <f t="shared" si="0"/>
        <v>-</v>
      </c>
      <c r="F38">
        <v>-2.1999999999999999E-2</v>
      </c>
      <c r="G38">
        <v>-19.600000000000001</v>
      </c>
      <c r="H38" t="str">
        <f t="shared" si="1"/>
        <v>-</v>
      </c>
      <c r="I38" s="1">
        <v>-0.31</v>
      </c>
      <c r="J38">
        <v>-27</v>
      </c>
      <c r="K38" t="str">
        <f t="shared" si="2"/>
        <v>-</v>
      </c>
      <c r="L38">
        <v>-0.02</v>
      </c>
      <c r="M38">
        <v>-19.8</v>
      </c>
      <c r="N38" t="str">
        <f t="shared" si="3"/>
        <v>-</v>
      </c>
      <c r="O38" s="1">
        <v>-0.39</v>
      </c>
      <c r="P38">
        <v>-32.200000000000003</v>
      </c>
      <c r="Q38" t="str">
        <f t="shared" si="4"/>
        <v>-</v>
      </c>
      <c r="R38">
        <v>-2.5000000000000001E-2</v>
      </c>
      <c r="S38">
        <v>-25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-0.44</v>
      </c>
      <c r="D39">
        <v>-12.4</v>
      </c>
      <c r="E39" t="str">
        <f t="shared" si="0"/>
        <v>-</v>
      </c>
      <c r="F39">
        <v>-2.3E-2</v>
      </c>
      <c r="G39">
        <v>-10.8</v>
      </c>
      <c r="H39" t="str">
        <f t="shared" si="1"/>
        <v>-</v>
      </c>
      <c r="I39" s="1">
        <v>-0.39</v>
      </c>
      <c r="J39">
        <v>-12.5</v>
      </c>
      <c r="K39" t="str">
        <f t="shared" si="2"/>
        <v>-</v>
      </c>
      <c r="L39">
        <v>-1.7000000000000001E-2</v>
      </c>
      <c r="M39">
        <v>-10.1</v>
      </c>
      <c r="N39" t="str">
        <f t="shared" si="3"/>
        <v>-</v>
      </c>
      <c r="O39" s="1">
        <v>-0.44</v>
      </c>
      <c r="P39">
        <v>-14</v>
      </c>
      <c r="Q39" t="str">
        <f t="shared" si="4"/>
        <v>-</v>
      </c>
      <c r="R39">
        <v>-1.4999999999999999E-2</v>
      </c>
      <c r="S39">
        <v>-8.9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0.32</v>
      </c>
      <c r="D40">
        <v>57.1</v>
      </c>
      <c r="E40" t="str">
        <f t="shared" si="0"/>
        <v>?</v>
      </c>
      <c r="F40">
        <v>5.5E-2</v>
      </c>
      <c r="G40">
        <v>103.8</v>
      </c>
      <c r="H40" t="str">
        <f t="shared" si="1"/>
        <v>?</v>
      </c>
      <c r="I40" s="1">
        <v>0.28999999999999998</v>
      </c>
      <c r="J40">
        <v>61.7</v>
      </c>
      <c r="K40" t="str">
        <f t="shared" si="2"/>
        <v>?</v>
      </c>
      <c r="L40">
        <v>7.0000000000000007E-2</v>
      </c>
      <c r="M40">
        <v>155.6</v>
      </c>
      <c r="N40" t="str">
        <f t="shared" si="3"/>
        <v>?</v>
      </c>
      <c r="O40" s="1">
        <v>0.18</v>
      </c>
      <c r="P40">
        <v>28.1</v>
      </c>
      <c r="Q40" t="str">
        <f t="shared" si="4"/>
        <v>-</v>
      </c>
      <c r="R40">
        <v>2.1999999999999999E-2</v>
      </c>
      <c r="S40">
        <v>45.8</v>
      </c>
      <c r="T40" s="2" t="str">
        <f t="shared" si="5"/>
        <v>-</v>
      </c>
    </row>
    <row r="41" spans="1:20">
      <c r="A41" s="11" t="s">
        <v>9</v>
      </c>
      <c r="B41" s="13">
        <v>0.7</v>
      </c>
      <c r="C41">
        <v>-0.66</v>
      </c>
      <c r="D41">
        <v>-35.700000000000003</v>
      </c>
      <c r="E41" t="str">
        <f t="shared" si="0"/>
        <v>-</v>
      </c>
      <c r="F41">
        <v>-1.4E-2</v>
      </c>
      <c r="G41">
        <v>-10.9</v>
      </c>
      <c r="H41" t="str">
        <f t="shared" si="1"/>
        <v>-</v>
      </c>
      <c r="I41" s="1">
        <v>-0.68</v>
      </c>
      <c r="J41">
        <v>-36.4</v>
      </c>
      <c r="K41" t="str">
        <f t="shared" si="2"/>
        <v>-</v>
      </c>
      <c r="L41">
        <v>-3.1E-2</v>
      </c>
      <c r="M41">
        <v>-20.399999999999999</v>
      </c>
      <c r="N41" t="str">
        <f t="shared" si="3"/>
        <v>-</v>
      </c>
      <c r="O41" s="1">
        <v>-0.56000000000000005</v>
      </c>
      <c r="P41">
        <v>-31.1</v>
      </c>
      <c r="Q41" t="str">
        <f t="shared" si="4"/>
        <v>-</v>
      </c>
      <c r="R41">
        <v>-2.4E-2</v>
      </c>
      <c r="S41">
        <v>-16.3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-0.71</v>
      </c>
      <c r="D42">
        <v>-42.8</v>
      </c>
      <c r="E42" t="str">
        <f t="shared" si="0"/>
        <v>-</v>
      </c>
      <c r="F42">
        <v>-2.1000000000000001E-2</v>
      </c>
      <c r="G42">
        <v>-19.399999999999999</v>
      </c>
      <c r="H42" t="str">
        <f t="shared" si="1"/>
        <v>-</v>
      </c>
      <c r="I42" s="1">
        <v>-0.69</v>
      </c>
      <c r="J42">
        <v>-45.4</v>
      </c>
      <c r="K42" t="str">
        <f t="shared" si="2"/>
        <v>-</v>
      </c>
      <c r="L42">
        <v>-1.7999999999999999E-2</v>
      </c>
      <c r="M42">
        <v>-18.399999999999999</v>
      </c>
      <c r="N42" t="str">
        <f t="shared" si="3"/>
        <v>-</v>
      </c>
      <c r="O42" s="1">
        <v>-0.67</v>
      </c>
      <c r="P42">
        <v>-41.9</v>
      </c>
      <c r="Q42" t="str">
        <f t="shared" si="4"/>
        <v>-</v>
      </c>
      <c r="R42">
        <v>-0.02</v>
      </c>
      <c r="S42">
        <v>-18.2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-1.5</v>
      </c>
      <c r="D43">
        <v>-31.2</v>
      </c>
      <c r="E43" t="str">
        <f t="shared" si="0"/>
        <v>-</v>
      </c>
      <c r="F43">
        <v>-0.03</v>
      </c>
      <c r="G43">
        <v>-12.6</v>
      </c>
      <c r="H43" t="str">
        <f t="shared" si="1"/>
        <v>-</v>
      </c>
      <c r="I43" s="1">
        <v>-0.56999999999999995</v>
      </c>
      <c r="J43">
        <v>-13</v>
      </c>
      <c r="K43" t="str">
        <f t="shared" si="2"/>
        <v>-</v>
      </c>
      <c r="L43">
        <v>3.0000000000000001E-3</v>
      </c>
      <c r="M43">
        <v>1.4</v>
      </c>
      <c r="N43" t="str">
        <f t="shared" si="3"/>
        <v>-</v>
      </c>
      <c r="O43" s="1">
        <v>-0.41</v>
      </c>
      <c r="P43">
        <v>-9.5</v>
      </c>
      <c r="Q43" t="str">
        <f t="shared" si="4"/>
        <v>-</v>
      </c>
      <c r="R43">
        <v>-2E-3</v>
      </c>
      <c r="S43">
        <v>-1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-0.02</v>
      </c>
      <c r="D44">
        <v>-2.7</v>
      </c>
      <c r="E44" t="str">
        <f t="shared" si="0"/>
        <v>-</v>
      </c>
      <c r="F44">
        <v>1E-3</v>
      </c>
      <c r="G44">
        <v>1.3</v>
      </c>
      <c r="H44" t="str">
        <f t="shared" si="1"/>
        <v>-</v>
      </c>
      <c r="I44" s="1">
        <v>0.12</v>
      </c>
      <c r="J44">
        <v>21.8</v>
      </c>
      <c r="K44" t="str">
        <f t="shared" si="2"/>
        <v>-</v>
      </c>
      <c r="L44">
        <v>2.4E-2</v>
      </c>
      <c r="M44">
        <v>46.2</v>
      </c>
      <c r="N44" t="str">
        <f t="shared" si="3"/>
        <v>-</v>
      </c>
      <c r="O44" s="1">
        <v>-0.19</v>
      </c>
      <c r="P44">
        <v>-21.6</v>
      </c>
      <c r="Q44" t="str">
        <f t="shared" si="4"/>
        <v>-</v>
      </c>
      <c r="R44">
        <v>-1.4E-2</v>
      </c>
      <c r="S44">
        <v>-20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-0.56999999999999995</v>
      </c>
      <c r="D45">
        <v>-23.3</v>
      </c>
      <c r="E45" t="str">
        <f t="shared" si="0"/>
        <v>-</v>
      </c>
      <c r="F45">
        <v>2.1000000000000001E-2</v>
      </c>
      <c r="G45">
        <v>16.2</v>
      </c>
      <c r="H45" t="str">
        <f t="shared" si="1"/>
        <v>-</v>
      </c>
      <c r="I45" s="1">
        <v>0.56999999999999995</v>
      </c>
      <c r="J45">
        <v>23.2</v>
      </c>
      <c r="K45" t="str">
        <f t="shared" si="2"/>
        <v>-</v>
      </c>
      <c r="L45">
        <v>-4.0000000000000001E-3</v>
      </c>
      <c r="M45">
        <v>-2.5</v>
      </c>
      <c r="N45" t="str">
        <f t="shared" si="3"/>
        <v>-</v>
      </c>
      <c r="O45" s="1">
        <v>0.8</v>
      </c>
      <c r="P45">
        <v>31.5</v>
      </c>
      <c r="Q45" t="str">
        <f t="shared" si="4"/>
        <v>-</v>
      </c>
      <c r="R45">
        <v>-1.4E-2</v>
      </c>
      <c r="S45">
        <v>-8.3000000000000007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0.2</v>
      </c>
      <c r="D46">
        <v>9.4</v>
      </c>
      <c r="E46" t="str">
        <f t="shared" si="0"/>
        <v>-</v>
      </c>
      <c r="F46">
        <v>4.7E-2</v>
      </c>
      <c r="G46">
        <v>59.5</v>
      </c>
      <c r="H46" t="str">
        <f t="shared" si="1"/>
        <v>?</v>
      </c>
      <c r="I46" s="1">
        <v>2.95</v>
      </c>
      <c r="J46">
        <v>145.30000000000001</v>
      </c>
      <c r="K46" t="str">
        <f t="shared" si="2"/>
        <v>?</v>
      </c>
      <c r="L46">
        <v>0.11899999999999999</v>
      </c>
      <c r="M46">
        <v>107.2</v>
      </c>
      <c r="N46" t="str">
        <f t="shared" si="3"/>
        <v>?</v>
      </c>
      <c r="O46" s="1">
        <v>3.25</v>
      </c>
      <c r="P46">
        <v>151.9</v>
      </c>
      <c r="Q46" t="str">
        <f t="shared" si="4"/>
        <v>?</v>
      </c>
      <c r="R46">
        <v>0.12</v>
      </c>
      <c r="S46">
        <v>108.1</v>
      </c>
      <c r="T46" s="2" t="str">
        <f t="shared" si="5"/>
        <v>?</v>
      </c>
    </row>
    <row r="47" spans="1:20">
      <c r="A47" s="11" t="s">
        <v>12</v>
      </c>
      <c r="B47" s="13">
        <v>0.8</v>
      </c>
      <c r="C47">
        <v>-0.98</v>
      </c>
      <c r="D47">
        <v>-16.3</v>
      </c>
      <c r="E47" t="str">
        <f t="shared" si="0"/>
        <v>-</v>
      </c>
      <c r="F47">
        <v>-7.2999999999999995E-2</v>
      </c>
      <c r="G47">
        <v>-24.1</v>
      </c>
      <c r="H47" t="str">
        <f t="shared" si="1"/>
        <v>-</v>
      </c>
      <c r="I47" s="1">
        <v>1.63</v>
      </c>
      <c r="J47">
        <v>30.1</v>
      </c>
      <c r="K47" t="str">
        <f t="shared" si="2"/>
        <v>-</v>
      </c>
      <c r="L47">
        <v>6.0000000000000001E-3</v>
      </c>
      <c r="M47">
        <v>2.4</v>
      </c>
      <c r="N47" t="str">
        <f t="shared" si="3"/>
        <v>-</v>
      </c>
      <c r="O47" s="1">
        <v>2.08</v>
      </c>
      <c r="P47">
        <v>39.700000000000003</v>
      </c>
      <c r="Q47" t="str">
        <f t="shared" si="4"/>
        <v>-</v>
      </c>
      <c r="R47">
        <v>0.01</v>
      </c>
      <c r="S47">
        <v>4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3.02</v>
      </c>
      <c r="D48">
        <v>284.89999999999998</v>
      </c>
      <c r="E48" t="str">
        <f t="shared" si="0"/>
        <v>?</v>
      </c>
      <c r="F48">
        <v>-2.3E-2</v>
      </c>
      <c r="G48">
        <v>-23.7</v>
      </c>
      <c r="H48" t="str">
        <f t="shared" si="1"/>
        <v>-</v>
      </c>
      <c r="I48" s="1">
        <v>4.13</v>
      </c>
      <c r="J48">
        <v>453.8</v>
      </c>
      <c r="K48" t="str">
        <f t="shared" si="2"/>
        <v>?</v>
      </c>
      <c r="L48">
        <v>1.7999999999999999E-2</v>
      </c>
      <c r="M48">
        <v>29.5</v>
      </c>
      <c r="N48" t="str">
        <f t="shared" si="3"/>
        <v>-</v>
      </c>
      <c r="O48" s="1">
        <v>4.09</v>
      </c>
      <c r="P48">
        <v>492.8</v>
      </c>
      <c r="Q48" t="str">
        <f t="shared" si="4"/>
        <v>?</v>
      </c>
      <c r="R48">
        <v>2.4E-2</v>
      </c>
      <c r="S48">
        <v>42.1</v>
      </c>
      <c r="T48" s="2" t="str">
        <f t="shared" si="5"/>
        <v>-</v>
      </c>
    </row>
    <row r="49" spans="1:20">
      <c r="A49" s="11" t="s">
        <v>9</v>
      </c>
      <c r="B49" s="13">
        <v>0.9</v>
      </c>
      <c r="C49">
        <v>3.44</v>
      </c>
      <c r="D49">
        <v>68.8</v>
      </c>
      <c r="E49" t="str">
        <f t="shared" si="0"/>
        <v>?</v>
      </c>
      <c r="F49">
        <v>1.4999999999999999E-2</v>
      </c>
      <c r="G49">
        <v>6.9</v>
      </c>
      <c r="H49" t="str">
        <f t="shared" si="1"/>
        <v>-</v>
      </c>
      <c r="I49" s="1">
        <v>2.83</v>
      </c>
      <c r="J49">
        <v>55.2</v>
      </c>
      <c r="K49" t="str">
        <f t="shared" si="2"/>
        <v>?</v>
      </c>
      <c r="L49">
        <v>-8.4000000000000005E-2</v>
      </c>
      <c r="M49">
        <v>-27.7</v>
      </c>
      <c r="N49" t="str">
        <f t="shared" si="3"/>
        <v>-</v>
      </c>
      <c r="O49" s="1">
        <v>2.84</v>
      </c>
      <c r="P49">
        <v>55.3</v>
      </c>
      <c r="Q49" t="str">
        <f t="shared" si="4"/>
        <v>?</v>
      </c>
      <c r="R49">
        <v>-8.4000000000000005E-2</v>
      </c>
      <c r="S49">
        <v>-28.2</v>
      </c>
      <c r="T49" s="2" t="str">
        <f t="shared" si="5"/>
        <v>-</v>
      </c>
    </row>
    <row r="50" spans="1:20">
      <c r="A50" s="11" t="s">
        <v>11</v>
      </c>
      <c r="B50" s="13">
        <v>0.9</v>
      </c>
      <c r="C50">
        <v>5.1100000000000003</v>
      </c>
      <c r="D50">
        <v>125.6</v>
      </c>
      <c r="E50" t="str">
        <f t="shared" si="0"/>
        <v>?</v>
      </c>
      <c r="F50">
        <v>7.3999999999999996E-2</v>
      </c>
      <c r="G50">
        <v>45.4</v>
      </c>
      <c r="H50" t="str">
        <f t="shared" si="1"/>
        <v>-</v>
      </c>
      <c r="I50" s="1">
        <v>5.42</v>
      </c>
      <c r="J50">
        <v>133.5</v>
      </c>
      <c r="K50" t="str">
        <f t="shared" si="2"/>
        <v>?</v>
      </c>
      <c r="L50">
        <v>3.3000000000000002E-2</v>
      </c>
      <c r="M50">
        <v>18.5</v>
      </c>
      <c r="N50" t="str">
        <f t="shared" si="3"/>
        <v>-</v>
      </c>
      <c r="O50" s="1">
        <v>5.44</v>
      </c>
      <c r="P50">
        <v>135.69999999999999</v>
      </c>
      <c r="Q50" t="str">
        <f t="shared" si="4"/>
        <v>?</v>
      </c>
      <c r="R50">
        <v>0.04</v>
      </c>
      <c r="S50">
        <v>22.6</v>
      </c>
      <c r="T50" s="2" t="str">
        <f t="shared" si="5"/>
        <v>-</v>
      </c>
    </row>
    <row r="51" spans="1:20">
      <c r="A51" s="11" t="s">
        <v>12</v>
      </c>
      <c r="B51" s="13">
        <v>0.9</v>
      </c>
      <c r="C51">
        <v>-2.65</v>
      </c>
      <c r="D51">
        <v>-24.2</v>
      </c>
      <c r="E51" t="str">
        <f t="shared" si="0"/>
        <v>-</v>
      </c>
      <c r="F51">
        <v>-0.26800000000000002</v>
      </c>
      <c r="G51">
        <v>-65.8</v>
      </c>
      <c r="H51" t="str">
        <f t="shared" si="1"/>
        <v>?</v>
      </c>
      <c r="I51" s="1">
        <v>-2.04</v>
      </c>
      <c r="J51">
        <v>-19.8</v>
      </c>
      <c r="K51" t="str">
        <f t="shared" si="2"/>
        <v>-</v>
      </c>
      <c r="L51">
        <v>-0.28499999999999998</v>
      </c>
      <c r="M51">
        <v>-67.900000000000006</v>
      </c>
      <c r="N51" t="str">
        <f t="shared" si="3"/>
        <v>?</v>
      </c>
      <c r="O51" s="1">
        <v>-1.75</v>
      </c>
      <c r="P51">
        <v>-17.5</v>
      </c>
      <c r="Q51" t="str">
        <f t="shared" si="4"/>
        <v>-</v>
      </c>
      <c r="R51">
        <v>-0.26700000000000002</v>
      </c>
      <c r="S51">
        <v>-66.3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4.49</v>
      </c>
      <c r="D52">
        <v>172</v>
      </c>
      <c r="E52" t="str">
        <f t="shared" si="0"/>
        <v>?</v>
      </c>
      <c r="F52">
        <v>7.4999999999999997E-2</v>
      </c>
      <c r="G52">
        <v>80.599999999999994</v>
      </c>
      <c r="H52" t="str">
        <f t="shared" si="1"/>
        <v>?</v>
      </c>
      <c r="I52" s="1">
        <v>4.54</v>
      </c>
      <c r="J52">
        <v>189.2</v>
      </c>
      <c r="K52" t="str">
        <f t="shared" si="2"/>
        <v>?</v>
      </c>
      <c r="L52">
        <v>0.16600000000000001</v>
      </c>
      <c r="M52">
        <v>221.3</v>
      </c>
      <c r="N52" t="str">
        <f t="shared" si="3"/>
        <v>?</v>
      </c>
      <c r="O52" s="1">
        <v>4.34</v>
      </c>
      <c r="P52">
        <v>165</v>
      </c>
      <c r="Q52" t="str">
        <f t="shared" si="4"/>
        <v>?</v>
      </c>
      <c r="R52">
        <v>0.152</v>
      </c>
      <c r="S52">
        <v>153.5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-0.10208333333333337</v>
      </c>
      <c r="D56">
        <f>AVERAGE(D$5:D$52)</f>
        <v>4.7416666666666663</v>
      </c>
      <c r="F56">
        <f>AVERAGE(F$5:F$52)</f>
        <v>-4.1875000000000002E-3</v>
      </c>
      <c r="G56">
        <f>AVERAGE(G$5:G$52)</f>
        <v>9.9229166666666657</v>
      </c>
      <c r="H56" s="25"/>
      <c r="I56" s="1">
        <f>AVERAGE(I$5:I$52)</f>
        <v>0.12041666666666656</v>
      </c>
      <c r="J56">
        <f>AVERAGE(J$5:J$52)</f>
        <v>12.483333333333334</v>
      </c>
      <c r="L56">
        <f>AVERAGE(L$5:L$52)</f>
        <v>-4.5833333333333325E-3</v>
      </c>
      <c r="M56">
        <f>AVERAGE(M$5:M$52)</f>
        <v>10.11875</v>
      </c>
      <c r="N56" s="2"/>
      <c r="O56" s="25">
        <f>AVERAGE(O$5:O$52)</f>
        <v>0.15479166666666669</v>
      </c>
      <c r="P56">
        <f>AVERAGE(P$5:P$52)</f>
        <v>12.431249999999999</v>
      </c>
      <c r="R56">
        <f>AVERAGE(R$5:R$52)</f>
        <v>-2.9166666666666677E-3</v>
      </c>
      <c r="S56">
        <f>AVERAGE(S$5:S$52)</f>
        <v>11.091666666666669</v>
      </c>
      <c r="T56" s="25"/>
    </row>
    <row r="57" spans="1:20">
      <c r="B57" s="4" t="s">
        <v>20</v>
      </c>
      <c r="C57" s="25">
        <f>MEDIAN(C$5:C$52)</f>
        <v>-0.28000000000000003</v>
      </c>
      <c r="D57">
        <f>MEDIAN(D$5:D$52)</f>
        <v>-15.25</v>
      </c>
      <c r="F57">
        <f>MEDIAN(F$5:F$52)</f>
        <v>-1.5E-3</v>
      </c>
      <c r="G57">
        <f>MEDIAN(G$5:G$52)</f>
        <v>-1.0499999999999998</v>
      </c>
      <c r="H57" s="25"/>
      <c r="I57" s="1">
        <f>MEDIAN(I$5:I$52)</f>
        <v>-0.22999999999999998</v>
      </c>
      <c r="J57">
        <f>MEDIAN(J$5:J$52)</f>
        <v>-12.25</v>
      </c>
      <c r="L57">
        <f>MEDIAN(L$5:L$52)</f>
        <v>-4.5000000000000005E-3</v>
      </c>
      <c r="M57">
        <f>MEDIAN(M$5:M$52)</f>
        <v>-4.5999999999999996</v>
      </c>
      <c r="N57" s="2"/>
      <c r="O57" s="25">
        <f>MEDIAN(O$5:O$52)</f>
        <v>-0.20500000000000002</v>
      </c>
      <c r="P57">
        <f>MEDIAN(P$5:P$52)</f>
        <v>-13.05</v>
      </c>
      <c r="R57">
        <f>MEDIAN(R$5:R$52)</f>
        <v>-9.0000000000000011E-3</v>
      </c>
      <c r="S57">
        <f>MEDIAN(S$5:S$52)</f>
        <v>-6.95</v>
      </c>
      <c r="T57" s="25"/>
    </row>
    <row r="58" spans="1:20">
      <c r="B58" s="4" t="s">
        <v>21</v>
      </c>
      <c r="C58" s="25">
        <f>STDEV(C$5:C$52)</f>
        <v>1.4411785341781518</v>
      </c>
      <c r="D58">
        <f>STDEV(D$5:D$52)</f>
        <v>61.219162739495403</v>
      </c>
      <c r="F58">
        <f>STDEV(F$5:F$52)</f>
        <v>5.1290850351570841E-2</v>
      </c>
      <c r="G58">
        <f>STDEV(G$5:G$52)</f>
        <v>38.5301884384088</v>
      </c>
      <c r="H58" s="25"/>
      <c r="I58" s="1">
        <f>STDEV(I$5:I$52)</f>
        <v>1.488746378716618</v>
      </c>
      <c r="J58">
        <f>STDEV(J$5:J$52)</f>
        <v>81.725274960540119</v>
      </c>
      <c r="L58">
        <f>STDEV(L$5:L$52)</f>
        <v>5.8555241542126164E-2</v>
      </c>
      <c r="M58">
        <f>STDEV(M$5:M$52)</f>
        <v>51.172169365321921</v>
      </c>
      <c r="N58" s="2"/>
      <c r="O58" s="25">
        <f>STDEV(O$5:O$52)</f>
        <v>1.4963146067863768</v>
      </c>
      <c r="P58">
        <f>STDEV(P$5:P$52)</f>
        <v>85.35784289147135</v>
      </c>
      <c r="R58">
        <f>STDEV(R$5:R$52)</f>
        <v>5.7012814286858372E-2</v>
      </c>
      <c r="S58">
        <f>STDEV(S$5:S$52)</f>
        <v>45.641656194115519</v>
      </c>
      <c r="T58" s="25"/>
    </row>
    <row r="59" spans="1:20">
      <c r="B59" s="4" t="s">
        <v>22</v>
      </c>
      <c r="C59" s="25">
        <f>COUNTIF(C$5:C$52, "&lt;0")</f>
        <v>34</v>
      </c>
      <c r="D59">
        <f>COUNTIF(D$5:D$52, "&lt;0")</f>
        <v>34</v>
      </c>
      <c r="F59">
        <f>COUNTIF(F$5:F$52, "&lt;0")</f>
        <v>24</v>
      </c>
      <c r="G59">
        <f>COUNTIF(G$5:G$52, "&lt;0")</f>
        <v>24</v>
      </c>
      <c r="H59" s="25"/>
      <c r="I59" s="1">
        <f>COUNTIF(I$5:I$52, "&lt;0")</f>
        <v>33</v>
      </c>
      <c r="J59">
        <f>COUNTIF(J$5:J$52, "&lt;0")</f>
        <v>33</v>
      </c>
      <c r="L59">
        <f>COUNTIF(L$5:L$52, "&lt;0")</f>
        <v>28</v>
      </c>
      <c r="M59">
        <f>COUNTIF(M$5:M$52, "&lt;0")</f>
        <v>28</v>
      </c>
      <c r="N59" s="2"/>
      <c r="O59" s="25">
        <f>COUNTIF(O$5:O$52, "&lt;0")</f>
        <v>32</v>
      </c>
      <c r="P59">
        <f>COUNTIF(P$5:P$52, "&lt;0")</f>
        <v>32</v>
      </c>
      <c r="R59">
        <f>COUNTIF(R$5:R$52, "&lt;0")</f>
        <v>27</v>
      </c>
      <c r="S59">
        <f>COUNTIF(S$5:S$52, "&lt;0")</f>
        <v>27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-0.44208333333333333</v>
      </c>
      <c r="D63">
        <f>AVERAGE(D$5:D$28)</f>
        <v>-7.4999999999999991</v>
      </c>
      <c r="F63">
        <f>AVERAGE(F$5:F$28)</f>
        <v>5.8333333333333273E-4</v>
      </c>
      <c r="G63">
        <f>AVERAGE(G$5:G$28)</f>
        <v>9.875</v>
      </c>
      <c r="H63" s="25"/>
      <c r="I63" s="1">
        <f>AVERAGE(I$5:I$28)</f>
        <v>-0.37375000000000003</v>
      </c>
      <c r="J63">
        <f>AVERAGE(J$5:J$28)</f>
        <v>-9.4291666666666689</v>
      </c>
      <c r="L63">
        <f>AVERAGE(L$5:L$28)</f>
        <v>-4.875E-3</v>
      </c>
      <c r="M63">
        <f>AVERAGE(M$5:M$28)</f>
        <v>4.5250000000000012</v>
      </c>
      <c r="N63" s="2"/>
      <c r="O63" s="25">
        <f>AVERAGE(O$5:O$28)</f>
        <v>-0.30249999999999994</v>
      </c>
      <c r="P63">
        <f>AVERAGE(P$5:P$28)</f>
        <v>-7.7500000000000027</v>
      </c>
      <c r="R63">
        <f>AVERAGE(R$5:R$28)</f>
        <v>2.4583333333333332E-3</v>
      </c>
      <c r="S63">
        <f>AVERAGE(S$5:S$28)</f>
        <v>15.241666666666669</v>
      </c>
      <c r="T63" s="25"/>
    </row>
    <row r="64" spans="1:20">
      <c r="B64" s="4" t="s">
        <v>20</v>
      </c>
      <c r="C64" s="25">
        <f>MEDIAN(C$5:C$28)</f>
        <v>-0.25</v>
      </c>
      <c r="D64">
        <f>MEDIAN(D$5:D$28)</f>
        <v>-16</v>
      </c>
      <c r="F64">
        <f>MEDIAN(F$5:F$28)</f>
        <v>4.5000000000000005E-3</v>
      </c>
      <c r="G64">
        <f>MEDIAN(G$5:G$28)</f>
        <v>3.45</v>
      </c>
      <c r="H64" s="25"/>
      <c r="I64" s="1">
        <f>MEDIAN(I$5:I$28)</f>
        <v>-0.28500000000000003</v>
      </c>
      <c r="J64">
        <f>MEDIAN(J$5:J$28)</f>
        <v>-15.75</v>
      </c>
      <c r="L64">
        <f>MEDIAN(L$5:L$28)</f>
        <v>-1.3000000000000001E-2</v>
      </c>
      <c r="M64">
        <f>MEDIAN(M$5:M$28)</f>
        <v>-7.75</v>
      </c>
      <c r="N64" s="2"/>
      <c r="O64" s="25">
        <f>MEDIAN(O$5:O$28)</f>
        <v>-0.21000000000000002</v>
      </c>
      <c r="P64">
        <f>MEDIAN(P$5:P$28)</f>
        <v>-13.5</v>
      </c>
      <c r="R64">
        <f>MEDIAN(R$5:R$28)</f>
        <v>-4.5000000000000005E-3</v>
      </c>
      <c r="S64">
        <f>MEDIAN(S$5:S$28)</f>
        <v>-3.7</v>
      </c>
      <c r="T64" s="25"/>
    </row>
    <row r="65" spans="2:20">
      <c r="B65" s="4" t="s">
        <v>21</v>
      </c>
      <c r="C65" s="25">
        <f>STDEV(C$5:C$28)</f>
        <v>0.70409966665217949</v>
      </c>
      <c r="D65">
        <f>STDEV(D$5:D$28)</f>
        <v>33.714607851919261</v>
      </c>
      <c r="F65">
        <f>STDEV(F$5:F$28)</f>
        <v>2.596639411216748E-2</v>
      </c>
      <c r="G65">
        <f>STDEV(G$5:G$28)</f>
        <v>28.842695556353984</v>
      </c>
      <c r="H65" s="25"/>
      <c r="I65" s="1">
        <f>STDEV(I$5:I$28)</f>
        <v>0.51552263476642957</v>
      </c>
      <c r="J65">
        <f>STDEV(J$5:J$28)</f>
        <v>29.045623469872751</v>
      </c>
      <c r="L65">
        <f>STDEV(L$5:L$28)</f>
        <v>2.8065625733734976E-2</v>
      </c>
      <c r="M65">
        <f>STDEV(M$5:M$28)</f>
        <v>36.399668536474579</v>
      </c>
      <c r="N65" s="2"/>
      <c r="O65" s="25">
        <f>STDEV(O$5:O$28)</f>
        <v>0.50344249704021504</v>
      </c>
      <c r="P65">
        <f>STDEV(P$5:P$28)</f>
        <v>27.339189899260475</v>
      </c>
      <c r="R65">
        <f>STDEV(R$5:R$28)</f>
        <v>3.1107078974388462E-2</v>
      </c>
      <c r="S65">
        <f>STDEV(S$5:S$28)</f>
        <v>44.854062068646257</v>
      </c>
      <c r="T65" s="25"/>
    </row>
    <row r="66" spans="2:20">
      <c r="B66" s="4" t="s">
        <v>22</v>
      </c>
      <c r="C66" s="25">
        <f>COUNTIF(C$5:C$28, "&lt;0")</f>
        <v>18</v>
      </c>
      <c r="D66">
        <f>COUNTIF(D$5:D$28, "&lt;0")</f>
        <v>18</v>
      </c>
      <c r="F66">
        <f>COUNTIF(F$5:F$28, "&lt;0")</f>
        <v>10</v>
      </c>
      <c r="G66">
        <f>COUNTIF(G$5:G$28, "&lt;0")</f>
        <v>10</v>
      </c>
      <c r="H66" s="25"/>
      <c r="I66" s="1">
        <f>COUNTIF(I$5:I$28, "&lt;0")</f>
        <v>20</v>
      </c>
      <c r="J66">
        <f>COUNTIF(J$5:J$28, "&lt;0")</f>
        <v>20</v>
      </c>
      <c r="L66">
        <f>COUNTIF(L$5:L$28, "&lt;0")</f>
        <v>15</v>
      </c>
      <c r="M66">
        <f>COUNTIF(M$5:M$28, "&lt;0")</f>
        <v>15</v>
      </c>
      <c r="N66" s="2"/>
      <c r="O66" s="25">
        <f>COUNTIF(O$5:O$28, "&lt;0")</f>
        <v>18</v>
      </c>
      <c r="P66">
        <f>COUNTIF(P$5:P$28, "&lt;0")</f>
        <v>18</v>
      </c>
      <c r="R66">
        <f>COUNTIF(R$5:R$28, "&lt;0")</f>
        <v>13</v>
      </c>
      <c r="S66">
        <f>COUNTIF(S$5:S$28, "&lt;0")</f>
        <v>13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0.23791666666666669</v>
      </c>
      <c r="D70">
        <f>AVERAGE(D$29:D$52)</f>
        <v>16.983333333333331</v>
      </c>
      <c r="F70">
        <f>AVERAGE(F$29:F$52)</f>
        <v>-8.958333333333332E-3</v>
      </c>
      <c r="G70">
        <f>AVERAGE(G$29:G$52)</f>
        <v>9.9708333333333332</v>
      </c>
      <c r="H70" s="25"/>
      <c r="I70" s="1">
        <f>AVERAGE(I$29:I$52)</f>
        <v>0.61458333333333337</v>
      </c>
      <c r="J70">
        <f>AVERAGE(J$29:J$52)</f>
        <v>34.395833333333336</v>
      </c>
      <c r="L70">
        <f>AVERAGE(L$29:L$52)</f>
        <v>-4.291666666666665E-3</v>
      </c>
      <c r="M70">
        <f>AVERAGE(M$29:M$52)</f>
        <v>15.7125</v>
      </c>
      <c r="N70" s="2"/>
      <c r="O70" s="25">
        <f>AVERAGE(O$29:O$52)</f>
        <v>0.6120833333333332</v>
      </c>
      <c r="P70">
        <f>AVERAGE(P$29:P$52)</f>
        <v>32.612500000000004</v>
      </c>
      <c r="R70">
        <f>AVERAGE(R$29:R$52)</f>
        <v>-8.2916666666666711E-3</v>
      </c>
      <c r="S70">
        <f>AVERAGE(S$29:S$52)</f>
        <v>6.9416666666666673</v>
      </c>
      <c r="T70" s="25"/>
    </row>
    <row r="71" spans="2:20">
      <c r="B71" s="4" t="s">
        <v>20</v>
      </c>
      <c r="C71" s="25">
        <f>MEDIAN(C$29:C$52)</f>
        <v>-0.31</v>
      </c>
      <c r="D71">
        <f>MEDIAN(D$29:D$52)</f>
        <v>-14.5</v>
      </c>
      <c r="F71">
        <f>MEDIAN(F$29:F$52)</f>
        <v>-1.55E-2</v>
      </c>
      <c r="G71">
        <f>MEDIAN(G$29:G$52)</f>
        <v>-10.850000000000001</v>
      </c>
      <c r="H71" s="25"/>
      <c r="I71" s="1">
        <f>MEDIAN(I$29:I$52)</f>
        <v>-0.11</v>
      </c>
      <c r="J71">
        <f>MEDIAN(J$29:J$52)</f>
        <v>-8.3000000000000007</v>
      </c>
      <c r="L71">
        <f>MEDIAN(L$29:L$52)</f>
        <v>-4.0000000000000001E-3</v>
      </c>
      <c r="M71">
        <f>MEDIAN(M$29:M$52)</f>
        <v>-3</v>
      </c>
      <c r="N71" s="2"/>
      <c r="O71" s="25">
        <f>MEDIAN(O$29:O$52)</f>
        <v>-0.20500000000000002</v>
      </c>
      <c r="P71">
        <f>MEDIAN(P$29:P$52)</f>
        <v>-11.75</v>
      </c>
      <c r="R71">
        <f>MEDIAN(R$29:R$52)</f>
        <v>-1.4E-2</v>
      </c>
      <c r="S71">
        <f>MEDIAN(S$29:S$52)</f>
        <v>-8.6000000000000014</v>
      </c>
      <c r="T71" s="25"/>
    </row>
    <row r="72" spans="2:20">
      <c r="B72" s="4" t="s">
        <v>21</v>
      </c>
      <c r="C72" s="25">
        <f>STDEV(C$29:C$52)</f>
        <v>1.8727751534453676</v>
      </c>
      <c r="D72">
        <f>STDEV(D$29:D$52)</f>
        <v>78.797818700037993</v>
      </c>
      <c r="F72">
        <f>STDEV(F$29:F$52)</f>
        <v>6.8221174302326451E-2</v>
      </c>
      <c r="G72">
        <f>STDEV(G$29:G$52)</f>
        <v>46.923253521196635</v>
      </c>
      <c r="H72" s="25"/>
      <c r="I72" s="1">
        <f>STDEV(I$29:I$52)</f>
        <v>1.9374456046595199</v>
      </c>
      <c r="J72">
        <f>STDEV(J$29:J$52)</f>
        <v>108.64030991490128</v>
      </c>
      <c r="L72">
        <f>STDEV(L$29:L$52)</f>
        <v>7.885841973003796E-2</v>
      </c>
      <c r="M72">
        <f>STDEV(M$29:M$52)</f>
        <v>62.934861511552256</v>
      </c>
      <c r="N72" s="2"/>
      <c r="O72" s="25">
        <f>STDEV(O$29:O$52)</f>
        <v>1.9711395493948181</v>
      </c>
      <c r="P72">
        <f>STDEV(P$29:P$52)</f>
        <v>115.28786018710618</v>
      </c>
      <c r="R72">
        <f>STDEV(R$29:R$52)</f>
        <v>7.4928649635715994E-2</v>
      </c>
      <c r="S72">
        <f>STDEV(S$29:S$52)</f>
        <v>47.000683775476276</v>
      </c>
      <c r="T72" s="25"/>
    </row>
    <row r="73" spans="2:20">
      <c r="B73" s="4" t="s">
        <v>22</v>
      </c>
      <c r="C73" s="25">
        <f>COUNTIF(C$29:C$52, "&lt;0")</f>
        <v>16</v>
      </c>
      <c r="D73">
        <f>COUNTIF(D$29:D$52, "&lt;0")</f>
        <v>16</v>
      </c>
      <c r="F73">
        <f>COUNTIF(F$29:F$52, "&lt;0")</f>
        <v>14</v>
      </c>
      <c r="G73">
        <f>COUNTIF(G$29:G$52, "&lt;0")</f>
        <v>14</v>
      </c>
      <c r="H73" s="25"/>
      <c r="I73" s="1">
        <f>COUNTIF(I$29:I$52, "&lt;0")</f>
        <v>13</v>
      </c>
      <c r="J73">
        <f>COUNTIF(J$29:J$52, "&lt;0")</f>
        <v>13</v>
      </c>
      <c r="L73">
        <f>COUNTIF(L$29:L$52, "&lt;0")</f>
        <v>13</v>
      </c>
      <c r="M73">
        <f>COUNTIF(M$29:M$52, "&lt;0")</f>
        <v>13</v>
      </c>
      <c r="N73" s="2"/>
      <c r="O73" s="25">
        <f>COUNTIF(O$29:O$52, "&lt;0")</f>
        <v>14</v>
      </c>
      <c r="P73">
        <f>COUNTIF(P$29:P$52, "&lt;0")</f>
        <v>14</v>
      </c>
      <c r="R73">
        <f>COUNTIF(R$29:R$52, "&lt;0")</f>
        <v>14</v>
      </c>
      <c r="S73">
        <f>COUNTIF(S$29:S$52, "&lt;0")</f>
        <v>14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5.7708333333333299E-2</v>
      </c>
      <c r="D77">
        <f>AVERAGE(D$5:D$52,J$5:J$52,P$5:P$52)</f>
        <v>9.8854166666666679</v>
      </c>
      <c r="F77">
        <f>AVERAGE(F$5:F$52,L$5:L$52,R$5:R$52)</f>
        <v>-3.8958333333333353E-3</v>
      </c>
      <c r="G77">
        <f>AVERAGE(G$5:G$52,M$5:M$52,S$5:S$52)</f>
        <v>10.377777777777775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-0.245</v>
      </c>
      <c r="D78">
        <f>MEDIAN(D$5:D$52,J$5:J$52,P$5:P$52)</f>
        <v>-12.95</v>
      </c>
      <c r="F78">
        <f>MEDIAN(F$5:F$52,L$5:L$52,R$5:R$52)</f>
        <v>-4.5000000000000005E-3</v>
      </c>
      <c r="G78">
        <f>MEDIAN(G$5:G$52,M$5:M$52,S$5:S$52)</f>
        <v>-4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1.4697075103856265</v>
      </c>
      <c r="D79">
        <f>STDEV(D$5:D$52,J$5:J$52,P$5:P$52)</f>
        <v>76.387178077543552</v>
      </c>
      <c r="F79">
        <f>STDEV(F$5:F$52,L$5:L$52,R$5:R$52)</f>
        <v>5.532102355211032E-2</v>
      </c>
      <c r="G79">
        <f>STDEV(G$5:G$52,M$5:M$52,S$5:S$52)</f>
        <v>45.094693599484522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99</v>
      </c>
      <c r="D80">
        <f>COUNTIF(D$5:D$52, "&lt;0")+COUNTIF(J$5:J$52, "&lt;0")+COUNTIF(P$5:P$52, "&lt;0")</f>
        <v>99</v>
      </c>
      <c r="F80">
        <f>COUNTIF(F$5:F$52, "&lt;0")+COUNTIF(L$5:L$52, "&lt;0")+COUNTIF(R$5:R$52, "&lt;0")</f>
        <v>79</v>
      </c>
      <c r="G80">
        <f>COUNTIF(G$5:G$52, "&lt;0")+COUNTIF(M$5:M$52, "&lt;0")+COUNTIF(S$5:S$52, "&lt;0")</f>
        <v>79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0.86826388888888906</v>
      </c>
      <c r="D83" cm="1">
        <f t="array" ref="D83">AVERAGE(ABS(D$5:D$52),ABS(J$5:J$52),ABS(P$5:P$52))</f>
        <v>40.842361111111117</v>
      </c>
      <c r="F83" cm="1">
        <f t="array" ref="F83">AVERAGE(ABS(F$5:F$52),ABS(L$5:L$52),ABS(R$5:R$52))</f>
        <v>3.3090277777777753E-2</v>
      </c>
      <c r="G83" cm="1">
        <f t="array" ref="G83">AVERAGE(ABS(G$5:G$52),ABS(M$5:M$52),ABS(S$5:S$52))</f>
        <v>29.386111111111113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0.39</v>
      </c>
      <c r="D84" cm="1">
        <f t="array" ref="D84">MEDIAN(ABS(D$5:D$52),ABS(J$5:J$52),ABS(P$5:P$52))</f>
        <v>24.15</v>
      </c>
      <c r="F84" cm="1">
        <f t="array" ref="F84">MEDIAN(ABS(F$5:F$52),ABS(L$5:L$52),ABS(R$5:R$52))</f>
        <v>2.1000000000000001E-2</v>
      </c>
      <c r="G84" cm="1">
        <f t="array" ref="G84">MEDIAN(ABS(G$5:G$52),ABS(M$5:M$52),ABS(S$5:S$52))</f>
        <v>16.45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1.1850061696815644</v>
      </c>
      <c r="D85" cm="1">
        <f t="array" ref="D85">STDEV(ABS(D$5:D$52),ABS(J$5:J$52),ABS(P$5:P$52))</f>
        <v>65.219953379787796</v>
      </c>
      <c r="F85" cm="1">
        <f t="array" ref="F85">STDEV(ABS(F$5:F$52),ABS(L$5:L$52),ABS(R$5:R$52))</f>
        <v>4.4419316845413198E-2</v>
      </c>
      <c r="G85" cm="1">
        <f t="array" ref="G85">STDEV(ABS(G$5:G$52),ABS(M$5:M$52),ABS(S$5:S$52))</f>
        <v>35.670723360348397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-0.37277777777777787</v>
      </c>
      <c r="D89">
        <f>AVERAGE(D$5:D$28,J$5:J$28,P$5:P$28)</f>
        <v>-8.2263888888888843</v>
      </c>
      <c r="F89">
        <f>AVERAGE(F$5:F$28,L$5:L$28,R$5:R$28)</f>
        <v>-6.1111111111111121E-4</v>
      </c>
      <c r="G89">
        <f>AVERAGE(G$5:G$28,M$5:M$28,S$5:S$28)</f>
        <v>9.8805555555555529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-0.26500000000000001</v>
      </c>
      <c r="D90">
        <f>MEDIAN(D$5:D$28,J$5:J$28,P$5:P$28)</f>
        <v>-14.55</v>
      </c>
      <c r="F90">
        <f>MEDIAN(F$5:F$28,L$5:L$28,R$5:R$28)</f>
        <v>-3.0000000000000001E-3</v>
      </c>
      <c r="G90">
        <f>MEDIAN(G$5:G$28,M$5:M$28,S$5:S$28)</f>
        <v>-2.5499999999999998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0.57627072624049935</v>
      </c>
      <c r="D91">
        <f>STDEV(D$5:D$28,J$5:J$28,P$5:P$28)</f>
        <v>29.738574527795159</v>
      </c>
      <c r="F91">
        <f>STDEV(F$5:F$28,L$5:L$28,R$5:R$28)</f>
        <v>2.8228721541628563E-2</v>
      </c>
      <c r="G91">
        <f>STDEV(G$5:G$28,M$5:M$28,S$5:S$28)</f>
        <v>37.011382485525026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56</v>
      </c>
      <c r="D92">
        <f>COUNTIF(D$5:D$28, "&lt;0")+COUNTIF(J$5:J$28, "&lt;0")+COUNTIF(P$5:P$28, "&lt;0")</f>
        <v>56</v>
      </c>
      <c r="F92">
        <f>COUNTIF(F$5:F$28, "&lt;0")+COUNTIF(L$5:L$28, "&lt;0")+COUNTIF(R$5:R$28, "&lt;0")</f>
        <v>38</v>
      </c>
      <c r="G92">
        <f>COUNTIF(G$5:G$28, "&lt;0")+COUNTIF(M$5:M$28, "&lt;0")+COUNTIF(S$5:S$28, "&lt;0")</f>
        <v>38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0.47416666666666646</v>
      </c>
      <c r="D95" cm="1">
        <f t="array" ref="D95">AVERAGE(ABS(D$5:D$28),ABS(J$5:J$28),ABS(P$5:P$28))</f>
        <v>24.243055555555557</v>
      </c>
      <c r="F95" cm="1">
        <f t="array" ref="F95">AVERAGE(ABS(F$5:F$28),ABS(L$5:L$28),ABS(R$5:R$28))</f>
        <v>2.247222222222222E-2</v>
      </c>
      <c r="G95" cm="1">
        <f t="array" ref="G95">AVERAGE(ABS(G$5:G$28),ABS(M$5:M$28),ABS(S$5:S$28))</f>
        <v>24.622222222222227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0.30499999999999999</v>
      </c>
      <c r="D96" cm="1">
        <f t="array" ref="D96">MEDIAN(ABS(D$5:D$28),ABS(J$5:J$28),ABS(P$5:P$28))</f>
        <v>20.65</v>
      </c>
      <c r="F96" cm="1">
        <f t="array" ref="F96">MEDIAN(ABS(F$5:F$28),ABS(L$5:L$28),ABS(R$5:R$28))</f>
        <v>2.1000000000000001E-2</v>
      </c>
      <c r="G96" cm="1">
        <f t="array" ref="G96">MEDIAN(ABS(G$5:G$28),ABS(M$5:M$28),ABS(S$5:S$28))</f>
        <v>13.6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0.49498257189407513</v>
      </c>
      <c r="D97" cm="1">
        <f t="array" ref="D97">STDEV(ABS(D$5:D$28),ABS(J$5:J$28),ABS(P$5:P$28))</f>
        <v>18.894598873445805</v>
      </c>
      <c r="F97" cm="1">
        <f t="array" ref="F97">STDEV(ABS(F$5:F$28),ABS(L$5:L$28),ABS(R$5:R$28))</f>
        <v>1.6885673752941189E-2</v>
      </c>
      <c r="G97" cm="1">
        <f t="array" ref="G97">STDEV(ABS(G$5:G$28),ABS(M$5:M$28),ABS(S$5:S$28))</f>
        <v>29.224137343006031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0.48819444444444454</v>
      </c>
      <c r="D101">
        <f>AVERAGE(D$29:D$52,J$29:J$52,P$29:P$52)</f>
        <v>27.99722222222222</v>
      </c>
      <c r="F101">
        <f>AVERAGE(F$29:F$52,L$29:L$52,R$29:R$52)</f>
        <v>-7.1805555555555555E-3</v>
      </c>
      <c r="G101">
        <f>AVERAGE(G$29:G$52,M$29:M$52,S$29:S$52)</f>
        <v>10.875000000000002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-0.2</v>
      </c>
      <c r="D102">
        <f>MEDIAN(D$29:D$52,J$29:J$52,P$29:P$52)</f>
        <v>-12.6</v>
      </c>
      <c r="F102">
        <f>MEDIAN(F$29:F$52,L$29:L$52,R$29:R$52)</f>
        <v>-1.0499999999999999E-2</v>
      </c>
      <c r="G102">
        <f>MEDIAN(G$29:G$52,M$29:M$52,S$29:S$52)</f>
        <v>-8.6000000000000014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1.9085488376995212</v>
      </c>
      <c r="D103">
        <f>STDEV(D$29:D$52,J$29:J$52,P$29:P$52)</f>
        <v>101.00735989391394</v>
      </c>
      <c r="F103">
        <f>STDEV(F$29:F$52,L$29:L$52,R$29:R$52)</f>
        <v>7.3110821994043784E-2</v>
      </c>
      <c r="G103">
        <f>STDEV(G$29:G$52,M$29:M$52,S$29:S$52)</f>
        <v>52.20498262874537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43</v>
      </c>
      <c r="D104">
        <f>COUNTIF(D$29:D$52, "&lt;0")+COUNTIF(J$29:J$52, "&lt;0")+COUNTIF(P$29:P$52, "&lt;0")</f>
        <v>43</v>
      </c>
      <c r="F104">
        <f>COUNTIF(F$29:F$52, "&lt;0")+COUNTIF(L$29:L$52, "&lt;0")+COUNTIF(R$29:R$52, "&lt;0")</f>
        <v>41</v>
      </c>
      <c r="G104">
        <f>COUNTIF(G$29:G$52, "&lt;0")+COUNTIF(M$29:M$52, "&lt;0")+COUNTIF(S$29:S$52, "&lt;0")</f>
        <v>41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1.2623611111111113</v>
      </c>
      <c r="D107" cm="1">
        <f t="array" ref="D107">AVERAGE(ABS(D$29:D$52),ABS(J$29:J$52),ABS(P$29:P$52))</f>
        <v>57.44166666666667</v>
      </c>
      <c r="F107" cm="1">
        <f t="array" ref="F107">AVERAGE(ABS(F$29:F$52),ABS(L$29:L$52),ABS(R$29:R$52))</f>
        <v>4.3708333333333314E-2</v>
      </c>
      <c r="G107" cm="1">
        <f t="array" ref="G107">AVERAGE(ABS(G$29:G$52),ABS(M$29:M$52),ABS(S$29:S$52))</f>
        <v>34.150000000000006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0.56499999999999995</v>
      </c>
      <c r="D108" cm="1">
        <f t="array" ref="D108">MEDIAN(ABS(D$29:D$52),ABS(J$29:J$52),ABS(P$29:P$52))</f>
        <v>28.95</v>
      </c>
      <c r="F108" cm="1">
        <f t="array" ref="F108">MEDIAN(ABS(F$29:F$52),ABS(L$29:L$52),ABS(R$29:R$52))</f>
        <v>2.1499999999999998E-2</v>
      </c>
      <c r="G108" cm="1">
        <f t="array" ref="G108">MEDIAN(ABS(G$29:G$52),ABS(M$29:M$52),ABS(S$29:S$52))</f>
        <v>18.95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1.5060708071710411</v>
      </c>
      <c r="D109" cm="1">
        <f t="array" ref="D109">STDEV(ABS(D$29:D$52),ABS(J$29:J$52),ABS(P$29:P$52))</f>
        <v>87.472016853359264</v>
      </c>
      <c r="F109" cm="1">
        <f t="array" ref="F109">STDEV(ABS(F$29:F$52),ABS(L$29:L$52),ABS(R$29:R$52))</f>
        <v>5.8823066640681744E-2</v>
      </c>
      <c r="G109" cm="1">
        <f t="array" ref="G109">STDEV(ABS(G$29:G$52),ABS(M$29:M$52),ABS(S$29:S$52))</f>
        <v>40.775524279666712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6263-EAAA-4998-9A76-CD517412747D}">
  <dimension ref="A1:T109"/>
  <sheetViews>
    <sheetView topLeftCell="A27" workbookViewId="0">
      <selection activeCell="D59" sqref="D59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-1.76</v>
      </c>
      <c r="D5">
        <v>-56.2</v>
      </c>
      <c r="E5" t="str">
        <f>IF(ABS(D5)&gt;50,"?","-")</f>
        <v>?</v>
      </c>
      <c r="F5">
        <v>-1.6E-2</v>
      </c>
      <c r="G5">
        <v>-10.3</v>
      </c>
      <c r="H5" t="str">
        <f>IF(ABS(G5)&gt;50,"?","-")</f>
        <v>-</v>
      </c>
      <c r="I5" s="1">
        <v>-1.68</v>
      </c>
      <c r="J5">
        <v>-55.8</v>
      </c>
      <c r="K5" t="str">
        <f>IF(ABS(J5)&gt;50,"?","-")</f>
        <v>?</v>
      </c>
      <c r="L5">
        <v>-5.8999999999999997E-2</v>
      </c>
      <c r="M5">
        <v>-31.4</v>
      </c>
      <c r="N5" t="str">
        <f>IF(ABS(M5)&gt;50,"?","-")</f>
        <v>-</v>
      </c>
      <c r="O5" s="1">
        <v>-1.57</v>
      </c>
      <c r="P5">
        <v>-54</v>
      </c>
      <c r="Q5" t="str">
        <f>IF(ABS(P5)&gt;50,"?","-")</f>
        <v>?</v>
      </c>
      <c r="R5">
        <v>-5.3999999999999999E-2</v>
      </c>
      <c r="S5">
        <v>-29.7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-1.4</v>
      </c>
      <c r="D6">
        <v>-54.3</v>
      </c>
      <c r="E6" t="str">
        <f t="shared" ref="E6:E52" si="0">IF(ABS(D6)&gt;50,"?","-")</f>
        <v>?</v>
      </c>
      <c r="F6">
        <v>-3.5000000000000003E-2</v>
      </c>
      <c r="G6">
        <v>-26.1</v>
      </c>
      <c r="H6" t="str">
        <f t="shared" ref="H6:H52" si="1">IF(ABS(G6)&gt;50,"?","-")</f>
        <v>-</v>
      </c>
      <c r="I6" s="1">
        <v>-1.53</v>
      </c>
      <c r="J6">
        <v>-58.4</v>
      </c>
      <c r="K6" t="str">
        <f t="shared" ref="K6:K52" si="2">IF(ABS(J6)&gt;50,"?","-")</f>
        <v>?</v>
      </c>
      <c r="L6">
        <v>-4.5999999999999999E-2</v>
      </c>
      <c r="M6">
        <v>-31.1</v>
      </c>
      <c r="N6" t="str">
        <f t="shared" ref="N6:N52" si="3">IF(ABS(M6)&gt;50,"?","-")</f>
        <v>-</v>
      </c>
      <c r="O6" s="1">
        <v>-1.57</v>
      </c>
      <c r="P6">
        <v>-59.5</v>
      </c>
      <c r="Q6" t="str">
        <f t="shared" ref="Q6:Q52" si="4">IF(ABS(P6)&gt;50,"?","-")</f>
        <v>?</v>
      </c>
      <c r="R6">
        <v>-3.6999999999999998E-2</v>
      </c>
      <c r="S6">
        <v>-27.6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-2.78</v>
      </c>
      <c r="D7">
        <v>-38.200000000000003</v>
      </c>
      <c r="E7" t="str">
        <f t="shared" si="0"/>
        <v>-</v>
      </c>
      <c r="F7">
        <v>-6.7000000000000004E-2</v>
      </c>
      <c r="G7">
        <v>-19</v>
      </c>
      <c r="H7" t="str">
        <f t="shared" si="1"/>
        <v>-</v>
      </c>
      <c r="I7" s="1">
        <v>-1.55</v>
      </c>
      <c r="J7">
        <v>-25.7</v>
      </c>
      <c r="K7" t="str">
        <f t="shared" si="2"/>
        <v>-</v>
      </c>
      <c r="L7">
        <v>-4.3999999999999997E-2</v>
      </c>
      <c r="M7">
        <v>-13.5</v>
      </c>
      <c r="N7" t="str">
        <f t="shared" si="3"/>
        <v>-</v>
      </c>
      <c r="O7" s="1">
        <v>-1.37</v>
      </c>
      <c r="P7">
        <v>-23.6</v>
      </c>
      <c r="Q7" t="str">
        <f t="shared" si="4"/>
        <v>-</v>
      </c>
      <c r="R7">
        <v>-3.1E-2</v>
      </c>
      <c r="S7">
        <v>-10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-0.38</v>
      </c>
      <c r="D8">
        <v>-29.9</v>
      </c>
      <c r="E8" t="str">
        <f t="shared" si="0"/>
        <v>-</v>
      </c>
      <c r="F8">
        <v>-2.7E-2</v>
      </c>
      <c r="G8">
        <v>-25.7</v>
      </c>
      <c r="H8" t="str">
        <f t="shared" si="1"/>
        <v>-</v>
      </c>
      <c r="I8" s="1">
        <v>-0.15</v>
      </c>
      <c r="J8">
        <v>-14.3</v>
      </c>
      <c r="K8" t="str">
        <f t="shared" si="2"/>
        <v>-</v>
      </c>
      <c r="L8">
        <v>1.0999999999999999E-2</v>
      </c>
      <c r="M8">
        <v>15.7</v>
      </c>
      <c r="N8" t="str">
        <f t="shared" si="3"/>
        <v>-</v>
      </c>
      <c r="O8" s="1">
        <v>-0.38</v>
      </c>
      <c r="P8">
        <v>-29.7</v>
      </c>
      <c r="Q8" t="str">
        <f t="shared" si="4"/>
        <v>-</v>
      </c>
      <c r="R8">
        <v>2.5000000000000001E-2</v>
      </c>
      <c r="S8">
        <v>42.4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-0.85</v>
      </c>
      <c r="D9">
        <v>-38.6</v>
      </c>
      <c r="E9" t="str">
        <f t="shared" si="0"/>
        <v>-</v>
      </c>
      <c r="F9">
        <v>-0.01</v>
      </c>
      <c r="G9">
        <v>-6.8</v>
      </c>
      <c r="H9" t="str">
        <f t="shared" si="1"/>
        <v>-</v>
      </c>
      <c r="I9" s="1">
        <v>-0.83</v>
      </c>
      <c r="J9">
        <v>-40.700000000000003</v>
      </c>
      <c r="K9" t="str">
        <f t="shared" si="2"/>
        <v>-</v>
      </c>
      <c r="L9">
        <v>-4.1000000000000002E-2</v>
      </c>
      <c r="M9">
        <v>-25.5</v>
      </c>
      <c r="N9" t="str">
        <f t="shared" si="3"/>
        <v>-</v>
      </c>
      <c r="O9" s="1">
        <v>-0.75</v>
      </c>
      <c r="P9">
        <v>-36.6</v>
      </c>
      <c r="Q9" t="str">
        <f t="shared" si="4"/>
        <v>-</v>
      </c>
      <c r="R9">
        <v>-4.1000000000000002E-2</v>
      </c>
      <c r="S9">
        <v>-25.5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-0.83</v>
      </c>
      <c r="D10">
        <v>-41.5</v>
      </c>
      <c r="E10" t="str">
        <f t="shared" si="0"/>
        <v>-</v>
      </c>
      <c r="F10">
        <v>1.6E-2</v>
      </c>
      <c r="G10">
        <v>15.8</v>
      </c>
      <c r="H10" t="str">
        <f t="shared" si="1"/>
        <v>-</v>
      </c>
      <c r="I10" s="1">
        <v>-0.85</v>
      </c>
      <c r="J10">
        <v>-43.8</v>
      </c>
      <c r="K10" t="str">
        <f t="shared" si="2"/>
        <v>-</v>
      </c>
      <c r="L10">
        <v>6.0000000000000001E-3</v>
      </c>
      <c r="M10">
        <v>5.9</v>
      </c>
      <c r="N10" t="str">
        <f t="shared" si="3"/>
        <v>-</v>
      </c>
      <c r="O10" s="1">
        <v>-0.83</v>
      </c>
      <c r="P10">
        <v>-42.8</v>
      </c>
      <c r="Q10" t="str">
        <f t="shared" si="4"/>
        <v>-</v>
      </c>
      <c r="R10">
        <v>1E-3</v>
      </c>
      <c r="S10">
        <v>0.9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-1.04</v>
      </c>
      <c r="D11">
        <v>-19.899999999999999</v>
      </c>
      <c r="E11" t="str">
        <f t="shared" si="0"/>
        <v>-</v>
      </c>
      <c r="F11">
        <v>-1.6E-2</v>
      </c>
      <c r="G11">
        <v>-5.7</v>
      </c>
      <c r="H11" t="str">
        <f t="shared" si="1"/>
        <v>-</v>
      </c>
      <c r="I11" s="1">
        <v>-0.3</v>
      </c>
      <c r="J11">
        <v>-6.7</v>
      </c>
      <c r="K11" t="str">
        <f t="shared" si="2"/>
        <v>-</v>
      </c>
      <c r="L11">
        <v>1.9E-2</v>
      </c>
      <c r="M11">
        <v>8.1</v>
      </c>
      <c r="N11" t="str">
        <f t="shared" si="3"/>
        <v>-</v>
      </c>
      <c r="O11" s="1">
        <v>-0.42</v>
      </c>
      <c r="P11">
        <v>-9.6999999999999993</v>
      </c>
      <c r="Q11" t="str">
        <f t="shared" si="4"/>
        <v>-</v>
      </c>
      <c r="R11">
        <v>0.01</v>
      </c>
      <c r="S11">
        <v>4.2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0.21</v>
      </c>
      <c r="D12">
        <v>20.8</v>
      </c>
      <c r="E12" t="str">
        <f t="shared" si="0"/>
        <v>-</v>
      </c>
      <c r="F12">
        <v>3.1E-2</v>
      </c>
      <c r="G12">
        <v>38.799999999999997</v>
      </c>
      <c r="H12" t="str">
        <f t="shared" si="1"/>
        <v>-</v>
      </c>
      <c r="I12" s="1">
        <v>0.61</v>
      </c>
      <c r="J12">
        <v>105.2</v>
      </c>
      <c r="K12" t="str">
        <f t="shared" si="2"/>
        <v>?</v>
      </c>
      <c r="L12">
        <v>7.0999999999999994E-2</v>
      </c>
      <c r="M12">
        <v>109.2</v>
      </c>
      <c r="N12" t="str">
        <f t="shared" si="3"/>
        <v>?</v>
      </c>
      <c r="O12" s="1">
        <v>-0.04</v>
      </c>
      <c r="P12">
        <v>-4.2</v>
      </c>
      <c r="Q12" t="str">
        <f t="shared" si="4"/>
        <v>-</v>
      </c>
      <c r="R12">
        <v>2.3E-2</v>
      </c>
      <c r="S12">
        <v>31.1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-0.43</v>
      </c>
      <c r="D13">
        <v>-24</v>
      </c>
      <c r="E13" t="str">
        <f t="shared" si="0"/>
        <v>-</v>
      </c>
      <c r="F13">
        <v>-1.0999999999999999E-2</v>
      </c>
      <c r="G13">
        <v>-7.5</v>
      </c>
      <c r="H13" t="str">
        <f t="shared" si="1"/>
        <v>-</v>
      </c>
      <c r="I13" s="1">
        <v>-0.55000000000000004</v>
      </c>
      <c r="J13">
        <v>-30.9</v>
      </c>
      <c r="K13" t="str">
        <f t="shared" si="2"/>
        <v>-</v>
      </c>
      <c r="L13">
        <v>-0.03</v>
      </c>
      <c r="M13">
        <v>-20.8</v>
      </c>
      <c r="N13" t="str">
        <f t="shared" si="3"/>
        <v>-</v>
      </c>
      <c r="O13" s="1">
        <v>-0.52</v>
      </c>
      <c r="P13">
        <v>-29.5</v>
      </c>
      <c r="Q13" t="str">
        <f t="shared" si="4"/>
        <v>-</v>
      </c>
      <c r="R13">
        <v>-2.5000000000000001E-2</v>
      </c>
      <c r="S13">
        <v>-17.100000000000001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-0.45</v>
      </c>
      <c r="D14">
        <v>-29</v>
      </c>
      <c r="E14" t="str">
        <f t="shared" si="0"/>
        <v>-</v>
      </c>
      <c r="F14">
        <v>3.0000000000000001E-3</v>
      </c>
      <c r="G14">
        <v>3.1</v>
      </c>
      <c r="H14" t="str">
        <f t="shared" si="1"/>
        <v>-</v>
      </c>
      <c r="I14" s="1">
        <v>-0.41</v>
      </c>
      <c r="J14">
        <v>-25.8</v>
      </c>
      <c r="K14" t="str">
        <f t="shared" si="2"/>
        <v>-</v>
      </c>
      <c r="L14">
        <v>0.02</v>
      </c>
      <c r="M14">
        <v>22.2</v>
      </c>
      <c r="N14" t="str">
        <f t="shared" si="3"/>
        <v>-</v>
      </c>
      <c r="O14" s="1">
        <v>-0.51</v>
      </c>
      <c r="P14">
        <v>-31.3</v>
      </c>
      <c r="Q14" t="str">
        <f t="shared" si="4"/>
        <v>-</v>
      </c>
      <c r="R14">
        <v>4.0000000000000001E-3</v>
      </c>
      <c r="S14">
        <v>4.0999999999999996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-0.2</v>
      </c>
      <c r="D15">
        <v>-4.7</v>
      </c>
      <c r="E15" t="str">
        <f t="shared" si="0"/>
        <v>-</v>
      </c>
      <c r="F15">
        <v>7.0000000000000001E-3</v>
      </c>
      <c r="G15">
        <v>2.9</v>
      </c>
      <c r="H15" t="str">
        <f t="shared" si="1"/>
        <v>-</v>
      </c>
      <c r="I15" s="1">
        <v>0.88</v>
      </c>
      <c r="J15">
        <v>30.1</v>
      </c>
      <c r="K15" t="str">
        <f t="shared" si="2"/>
        <v>-</v>
      </c>
      <c r="L15">
        <v>4.8000000000000001E-2</v>
      </c>
      <c r="M15">
        <v>26.8</v>
      </c>
      <c r="N15" t="str">
        <f t="shared" si="3"/>
        <v>-</v>
      </c>
      <c r="O15" s="1">
        <v>0.8</v>
      </c>
      <c r="P15">
        <v>26.4</v>
      </c>
      <c r="Q15" t="str">
        <f t="shared" si="4"/>
        <v>-</v>
      </c>
      <c r="R15">
        <v>4.3999999999999997E-2</v>
      </c>
      <c r="S15">
        <v>24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-0.1</v>
      </c>
      <c r="D16">
        <v>-11.1</v>
      </c>
      <c r="E16" t="str">
        <f t="shared" si="0"/>
        <v>-</v>
      </c>
      <c r="F16">
        <v>-2.5000000000000001E-2</v>
      </c>
      <c r="G16">
        <v>-33.299999999999997</v>
      </c>
      <c r="H16" t="str">
        <f t="shared" si="1"/>
        <v>-</v>
      </c>
      <c r="I16" s="1">
        <v>0.23</v>
      </c>
      <c r="J16">
        <v>42.6</v>
      </c>
      <c r="K16" t="str">
        <f t="shared" si="2"/>
        <v>-</v>
      </c>
      <c r="L16">
        <v>1E-3</v>
      </c>
      <c r="M16">
        <v>2</v>
      </c>
      <c r="N16" t="str">
        <f t="shared" si="3"/>
        <v>-</v>
      </c>
      <c r="O16" s="1">
        <v>0</v>
      </c>
      <c r="P16">
        <v>0</v>
      </c>
      <c r="Q16" t="str">
        <f t="shared" si="4"/>
        <v>-</v>
      </c>
      <c r="R16">
        <v>-5.0000000000000001E-3</v>
      </c>
      <c r="S16">
        <v>-8.9</v>
      </c>
      <c r="T16" s="2" t="str">
        <f t="shared" si="5"/>
        <v>-</v>
      </c>
    </row>
    <row r="17" spans="1:20">
      <c r="A17" s="11" t="s">
        <v>9</v>
      </c>
      <c r="B17" s="12" t="s">
        <v>16</v>
      </c>
      <c r="C17">
        <v>-0.18</v>
      </c>
      <c r="D17">
        <v>-11.5</v>
      </c>
      <c r="E17" t="str">
        <f t="shared" si="0"/>
        <v>-</v>
      </c>
      <c r="F17">
        <v>-6.0000000000000001E-3</v>
      </c>
      <c r="G17">
        <v>-4.3</v>
      </c>
      <c r="H17" t="str">
        <f t="shared" si="1"/>
        <v>-</v>
      </c>
      <c r="I17" s="1">
        <v>-0.35</v>
      </c>
      <c r="J17">
        <v>-23.3</v>
      </c>
      <c r="K17" t="str">
        <f t="shared" si="2"/>
        <v>-</v>
      </c>
      <c r="L17">
        <v>-2.5000000000000001E-2</v>
      </c>
      <c r="M17">
        <v>-19.2</v>
      </c>
      <c r="N17" t="str">
        <f t="shared" si="3"/>
        <v>-</v>
      </c>
      <c r="O17" s="1">
        <v>-0.38</v>
      </c>
      <c r="P17">
        <v>-25.2</v>
      </c>
      <c r="Q17" t="str">
        <f t="shared" si="4"/>
        <v>-</v>
      </c>
      <c r="R17">
        <v>-2.4E-2</v>
      </c>
      <c r="S17">
        <v>-18.899999999999999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-0.2</v>
      </c>
      <c r="D18">
        <v>-14.7</v>
      </c>
      <c r="E18" t="str">
        <f t="shared" si="0"/>
        <v>-</v>
      </c>
      <c r="F18">
        <v>1.7000000000000001E-2</v>
      </c>
      <c r="G18">
        <v>18.7</v>
      </c>
      <c r="H18" t="str">
        <f t="shared" si="1"/>
        <v>-</v>
      </c>
      <c r="I18" s="1">
        <v>-0.35</v>
      </c>
      <c r="J18">
        <v>-24.6</v>
      </c>
      <c r="K18" t="str">
        <f t="shared" si="2"/>
        <v>-</v>
      </c>
      <c r="L18">
        <v>1.4999999999999999E-2</v>
      </c>
      <c r="M18">
        <v>16.7</v>
      </c>
      <c r="N18" t="str">
        <f t="shared" si="3"/>
        <v>-</v>
      </c>
      <c r="O18" s="1">
        <v>-0.45</v>
      </c>
      <c r="P18">
        <v>-30</v>
      </c>
      <c r="Q18" t="str">
        <f t="shared" si="4"/>
        <v>-</v>
      </c>
      <c r="R18">
        <v>1E-3</v>
      </c>
      <c r="S18">
        <v>1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0.28000000000000003</v>
      </c>
      <c r="D19">
        <v>9.5</v>
      </c>
      <c r="E19" t="str">
        <f t="shared" si="0"/>
        <v>-</v>
      </c>
      <c r="F19">
        <v>2.3E-2</v>
      </c>
      <c r="G19">
        <v>12.8</v>
      </c>
      <c r="H19" t="str">
        <f t="shared" si="1"/>
        <v>-</v>
      </c>
      <c r="I19" s="1">
        <v>0</v>
      </c>
      <c r="J19">
        <v>0</v>
      </c>
      <c r="K19" t="str">
        <f t="shared" si="2"/>
        <v>-</v>
      </c>
      <c r="L19">
        <v>-1.0999999999999999E-2</v>
      </c>
      <c r="M19">
        <v>-5.5</v>
      </c>
      <c r="N19" t="str">
        <f t="shared" si="3"/>
        <v>-</v>
      </c>
      <c r="O19" s="1">
        <v>0.08</v>
      </c>
      <c r="P19">
        <v>2.6</v>
      </c>
      <c r="Q19" t="str">
        <f t="shared" si="4"/>
        <v>-</v>
      </c>
      <c r="R19">
        <v>-1.4E-2</v>
      </c>
      <c r="S19">
        <v>-6.9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0.26</v>
      </c>
      <c r="D20">
        <v>37.1</v>
      </c>
      <c r="E20" t="str">
        <f t="shared" si="0"/>
        <v>-</v>
      </c>
      <c r="F20">
        <v>1.4999999999999999E-2</v>
      </c>
      <c r="G20">
        <v>24.2</v>
      </c>
      <c r="H20" t="str">
        <f t="shared" si="1"/>
        <v>-</v>
      </c>
      <c r="I20" s="1">
        <v>0.24</v>
      </c>
      <c r="J20">
        <v>46.2</v>
      </c>
      <c r="K20" t="str">
        <f t="shared" si="2"/>
        <v>-</v>
      </c>
      <c r="L20">
        <v>4.0000000000000001E-3</v>
      </c>
      <c r="M20">
        <v>10.5</v>
      </c>
      <c r="N20" t="str">
        <f t="shared" si="3"/>
        <v>-</v>
      </c>
      <c r="O20" s="1">
        <v>0.03</v>
      </c>
      <c r="P20">
        <v>3.1</v>
      </c>
      <c r="Q20" t="str">
        <f t="shared" si="4"/>
        <v>-</v>
      </c>
      <c r="R20">
        <v>4.0000000000000001E-3</v>
      </c>
      <c r="S20">
        <v>8.1999999999999993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-0.08</v>
      </c>
      <c r="D21">
        <v>-5.7</v>
      </c>
      <c r="E21" t="str">
        <f t="shared" si="0"/>
        <v>-</v>
      </c>
      <c r="F21">
        <v>-8.0000000000000002E-3</v>
      </c>
      <c r="G21">
        <v>-6.2</v>
      </c>
      <c r="H21" t="str">
        <f t="shared" si="1"/>
        <v>-</v>
      </c>
      <c r="I21" s="1">
        <v>-0.12</v>
      </c>
      <c r="J21">
        <v>-9.1999999999999993</v>
      </c>
      <c r="K21" t="str">
        <f t="shared" si="2"/>
        <v>-</v>
      </c>
      <c r="L21">
        <v>-8.0000000000000002E-3</v>
      </c>
      <c r="M21">
        <v>-7.2</v>
      </c>
      <c r="N21" t="str">
        <f t="shared" si="3"/>
        <v>-</v>
      </c>
      <c r="O21" s="1">
        <v>-0.22</v>
      </c>
      <c r="P21">
        <v>-16.3</v>
      </c>
      <c r="Q21" t="str">
        <f t="shared" si="4"/>
        <v>-</v>
      </c>
      <c r="R21">
        <v>-0.02</v>
      </c>
      <c r="S21">
        <v>-15.9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-0.05</v>
      </c>
      <c r="D22">
        <v>-4</v>
      </c>
      <c r="E22" t="str">
        <f t="shared" si="0"/>
        <v>-</v>
      </c>
      <c r="F22">
        <v>6.0000000000000001E-3</v>
      </c>
      <c r="G22">
        <v>6</v>
      </c>
      <c r="H22" t="str">
        <f t="shared" si="1"/>
        <v>-</v>
      </c>
      <c r="I22" s="1">
        <v>-0.23</v>
      </c>
      <c r="J22">
        <v>-18</v>
      </c>
      <c r="K22" t="str">
        <f t="shared" si="2"/>
        <v>-</v>
      </c>
      <c r="L22">
        <v>-5.0000000000000001E-3</v>
      </c>
      <c r="M22">
        <v>-5.4</v>
      </c>
      <c r="N22" t="str">
        <f t="shared" si="3"/>
        <v>-</v>
      </c>
      <c r="O22" s="1">
        <v>-0.25</v>
      </c>
      <c r="P22">
        <v>-20.3</v>
      </c>
      <c r="Q22" t="str">
        <f t="shared" si="4"/>
        <v>-</v>
      </c>
      <c r="R22">
        <v>5.0000000000000001E-3</v>
      </c>
      <c r="S22">
        <v>5.7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-0.22</v>
      </c>
      <c r="D23">
        <v>-5.5</v>
      </c>
      <c r="E23" t="str">
        <f t="shared" si="0"/>
        <v>-</v>
      </c>
      <c r="F23">
        <v>-1.2999999999999999E-2</v>
      </c>
      <c r="G23">
        <v>-5.8</v>
      </c>
      <c r="H23" t="str">
        <f t="shared" si="1"/>
        <v>-</v>
      </c>
      <c r="I23" s="1">
        <v>-0.12</v>
      </c>
      <c r="J23">
        <v>-3.3</v>
      </c>
      <c r="K23" t="str">
        <f t="shared" si="2"/>
        <v>-</v>
      </c>
      <c r="L23">
        <v>-8.9999999999999993E-3</v>
      </c>
      <c r="M23">
        <v>-4.5999999999999996</v>
      </c>
      <c r="N23" t="str">
        <f t="shared" si="3"/>
        <v>-</v>
      </c>
      <c r="O23" s="1">
        <v>-0.36</v>
      </c>
      <c r="P23">
        <v>-9.3000000000000007</v>
      </c>
      <c r="Q23" t="str">
        <f t="shared" si="4"/>
        <v>-</v>
      </c>
      <c r="R23">
        <v>-0.01</v>
      </c>
      <c r="S23">
        <v>-5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-0.12</v>
      </c>
      <c r="D24">
        <v>-12.9</v>
      </c>
      <c r="E24" t="str">
        <f t="shared" si="0"/>
        <v>-</v>
      </c>
      <c r="F24">
        <v>-7.0000000000000001E-3</v>
      </c>
      <c r="G24">
        <v>-9.6999999999999993</v>
      </c>
      <c r="H24" t="str">
        <f t="shared" si="1"/>
        <v>-</v>
      </c>
      <c r="I24" s="1">
        <v>0.17</v>
      </c>
      <c r="J24">
        <v>32.1</v>
      </c>
      <c r="K24" t="str">
        <f t="shared" si="2"/>
        <v>-</v>
      </c>
      <c r="L24">
        <v>8.9999999999999993E-3</v>
      </c>
      <c r="M24">
        <v>25</v>
      </c>
      <c r="N24" t="str">
        <f t="shared" si="3"/>
        <v>-</v>
      </c>
      <c r="O24" s="1">
        <v>0.13</v>
      </c>
      <c r="P24">
        <v>19.100000000000001</v>
      </c>
      <c r="Q24" t="str">
        <f t="shared" si="4"/>
        <v>-</v>
      </c>
      <c r="R24">
        <v>2.7E-2</v>
      </c>
      <c r="S24">
        <v>81.8</v>
      </c>
      <c r="T24" s="2" t="str">
        <f t="shared" si="5"/>
        <v>?</v>
      </c>
    </row>
    <row r="25" spans="1:20">
      <c r="A25" s="11" t="s">
        <v>9</v>
      </c>
      <c r="B25" s="12" t="s">
        <v>18</v>
      </c>
      <c r="C25">
        <v>-0.43</v>
      </c>
      <c r="D25">
        <v>-25.9</v>
      </c>
      <c r="E25" t="str">
        <f t="shared" si="0"/>
        <v>-</v>
      </c>
      <c r="F25">
        <v>-2.5999999999999999E-2</v>
      </c>
      <c r="G25">
        <v>-18.2</v>
      </c>
      <c r="H25" t="str">
        <f t="shared" si="1"/>
        <v>-</v>
      </c>
      <c r="I25" s="1">
        <v>-0.28999999999999998</v>
      </c>
      <c r="J25">
        <v>-18.7</v>
      </c>
      <c r="K25" t="str">
        <f t="shared" si="2"/>
        <v>-</v>
      </c>
      <c r="L25">
        <v>-5.0000000000000001E-3</v>
      </c>
      <c r="M25">
        <v>-4</v>
      </c>
      <c r="N25" t="str">
        <f t="shared" si="3"/>
        <v>-</v>
      </c>
      <c r="O25" s="1">
        <v>-0.25</v>
      </c>
      <c r="P25">
        <v>-17</v>
      </c>
      <c r="Q25" t="str">
        <f t="shared" si="4"/>
        <v>-</v>
      </c>
      <c r="R25">
        <v>3.0000000000000001E-3</v>
      </c>
      <c r="S25">
        <v>2.5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0.23</v>
      </c>
      <c r="D26">
        <v>18.7</v>
      </c>
      <c r="E26" t="str">
        <f t="shared" si="0"/>
        <v>-</v>
      </c>
      <c r="F26">
        <v>3.3000000000000002E-2</v>
      </c>
      <c r="G26">
        <v>38.799999999999997</v>
      </c>
      <c r="H26" t="str">
        <f t="shared" si="1"/>
        <v>-</v>
      </c>
      <c r="I26" s="1">
        <v>-0.51</v>
      </c>
      <c r="J26">
        <v>-36.200000000000003</v>
      </c>
      <c r="K26" t="str">
        <f t="shared" si="2"/>
        <v>-</v>
      </c>
      <c r="L26">
        <v>-3.5000000000000003E-2</v>
      </c>
      <c r="M26">
        <v>-29.4</v>
      </c>
      <c r="N26" t="str">
        <f t="shared" si="3"/>
        <v>-</v>
      </c>
      <c r="O26" s="1">
        <v>-0.21</v>
      </c>
      <c r="P26">
        <v>-14.5</v>
      </c>
      <c r="Q26" t="str">
        <f t="shared" si="4"/>
        <v>-</v>
      </c>
      <c r="R26">
        <v>-3.0000000000000001E-3</v>
      </c>
      <c r="S26">
        <v>-2.5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-1.68</v>
      </c>
      <c r="D27">
        <v>-38.299999999999997</v>
      </c>
      <c r="E27" t="str">
        <f t="shared" si="0"/>
        <v>-</v>
      </c>
      <c r="F27">
        <v>-6.7000000000000004E-2</v>
      </c>
      <c r="G27">
        <v>-26.4</v>
      </c>
      <c r="H27" t="str">
        <f t="shared" si="1"/>
        <v>-</v>
      </c>
      <c r="I27" s="1">
        <v>-2.15</v>
      </c>
      <c r="J27">
        <v>-46.7</v>
      </c>
      <c r="K27" t="str">
        <f t="shared" si="2"/>
        <v>-</v>
      </c>
      <c r="L27">
        <v>-6.5000000000000002E-2</v>
      </c>
      <c r="M27">
        <v>-28.8</v>
      </c>
      <c r="N27" t="str">
        <f t="shared" si="3"/>
        <v>-</v>
      </c>
      <c r="O27" s="1">
        <v>-1.65</v>
      </c>
      <c r="P27">
        <v>-42.2</v>
      </c>
      <c r="Q27" t="str">
        <f t="shared" si="4"/>
        <v>-</v>
      </c>
      <c r="R27">
        <v>-4.2000000000000003E-2</v>
      </c>
      <c r="S27">
        <v>-21.2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7.0000000000000007E-2</v>
      </c>
      <c r="D28">
        <v>8.5</v>
      </c>
      <c r="E28" t="str">
        <f t="shared" si="0"/>
        <v>-</v>
      </c>
      <c r="F28">
        <v>4.8000000000000001E-2</v>
      </c>
      <c r="G28">
        <v>145.5</v>
      </c>
      <c r="H28" t="str">
        <f t="shared" si="1"/>
        <v>?</v>
      </c>
      <c r="I28" s="1">
        <v>0.48</v>
      </c>
      <c r="J28">
        <v>88.9</v>
      </c>
      <c r="K28" t="str">
        <f t="shared" si="2"/>
        <v>?</v>
      </c>
      <c r="L28">
        <v>5.8999999999999997E-2</v>
      </c>
      <c r="M28">
        <v>103.5</v>
      </c>
      <c r="N28" t="str">
        <f t="shared" si="3"/>
        <v>?</v>
      </c>
      <c r="O28" s="1">
        <v>0.05</v>
      </c>
      <c r="P28">
        <v>5.4</v>
      </c>
      <c r="Q28" t="str">
        <f t="shared" si="4"/>
        <v>-</v>
      </c>
      <c r="R28">
        <v>5.1999999999999998E-2</v>
      </c>
      <c r="S28">
        <v>86.7</v>
      </c>
      <c r="T28" s="2" t="str">
        <f t="shared" si="5"/>
        <v>?</v>
      </c>
    </row>
    <row r="29" spans="1:20">
      <c r="A29" s="11" t="s">
        <v>9</v>
      </c>
      <c r="B29" s="13">
        <v>0.4</v>
      </c>
      <c r="C29">
        <v>-0.15</v>
      </c>
      <c r="D29">
        <v>-11</v>
      </c>
      <c r="E29" t="str">
        <f t="shared" si="0"/>
        <v>-</v>
      </c>
      <c r="F29">
        <v>6.0000000000000001E-3</v>
      </c>
      <c r="G29">
        <v>5.2</v>
      </c>
      <c r="H29" t="str">
        <f t="shared" si="1"/>
        <v>-</v>
      </c>
      <c r="I29" s="1">
        <v>-0.19</v>
      </c>
      <c r="J29">
        <v>-16.2</v>
      </c>
      <c r="K29" t="str">
        <f t="shared" si="2"/>
        <v>-</v>
      </c>
      <c r="L29">
        <v>-2.8000000000000001E-2</v>
      </c>
      <c r="M29">
        <v>-24.6</v>
      </c>
      <c r="N29" t="str">
        <f t="shared" si="3"/>
        <v>-</v>
      </c>
      <c r="O29" s="1">
        <v>-0.09</v>
      </c>
      <c r="P29">
        <v>-8</v>
      </c>
      <c r="Q29" t="str">
        <f t="shared" si="4"/>
        <v>-</v>
      </c>
      <c r="R29">
        <v>-1.0999999999999999E-2</v>
      </c>
      <c r="S29">
        <v>-11.2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-0.03</v>
      </c>
      <c r="D30">
        <v>-2.2000000000000002</v>
      </c>
      <c r="E30" t="str">
        <f t="shared" si="0"/>
        <v>-</v>
      </c>
      <c r="F30">
        <v>2.5999999999999999E-2</v>
      </c>
      <c r="G30">
        <v>24.5</v>
      </c>
      <c r="H30" t="str">
        <f t="shared" si="1"/>
        <v>-</v>
      </c>
      <c r="I30" s="1">
        <v>-0.28999999999999998</v>
      </c>
      <c r="J30">
        <v>-25</v>
      </c>
      <c r="K30" t="str">
        <f t="shared" si="2"/>
        <v>-</v>
      </c>
      <c r="L30">
        <v>1E-3</v>
      </c>
      <c r="M30">
        <v>1.1000000000000001</v>
      </c>
      <c r="N30" t="str">
        <f t="shared" si="3"/>
        <v>-</v>
      </c>
      <c r="O30" s="1">
        <v>-0.09</v>
      </c>
      <c r="P30">
        <v>-8.3000000000000007</v>
      </c>
      <c r="Q30" t="str">
        <f t="shared" si="4"/>
        <v>-</v>
      </c>
      <c r="R30">
        <v>-5.0000000000000001E-3</v>
      </c>
      <c r="S30">
        <v>-5.6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-0.43</v>
      </c>
      <c r="D31">
        <v>-16.8</v>
      </c>
      <c r="E31" t="str">
        <f t="shared" si="0"/>
        <v>-</v>
      </c>
      <c r="F31">
        <v>2E-3</v>
      </c>
      <c r="G31">
        <v>1.2</v>
      </c>
      <c r="H31" t="str">
        <f t="shared" si="1"/>
        <v>-</v>
      </c>
      <c r="I31" s="1">
        <v>-0.67</v>
      </c>
      <c r="J31">
        <v>-26</v>
      </c>
      <c r="K31" t="str">
        <f t="shared" si="2"/>
        <v>-</v>
      </c>
      <c r="L31">
        <v>-3.3000000000000002E-2</v>
      </c>
      <c r="M31">
        <v>-21.4</v>
      </c>
      <c r="N31" t="str">
        <f t="shared" si="3"/>
        <v>-</v>
      </c>
      <c r="O31" s="1">
        <v>-0.45</v>
      </c>
      <c r="P31">
        <v>-17.7</v>
      </c>
      <c r="Q31" t="str">
        <f t="shared" si="4"/>
        <v>-</v>
      </c>
      <c r="R31">
        <v>-3.4000000000000002E-2</v>
      </c>
      <c r="S31">
        <v>-21.5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0.46</v>
      </c>
      <c r="D32">
        <v>52.3</v>
      </c>
      <c r="E32" t="str">
        <f t="shared" si="0"/>
        <v>?</v>
      </c>
      <c r="F32">
        <v>7.2999999999999995E-2</v>
      </c>
      <c r="G32">
        <v>125.9</v>
      </c>
      <c r="H32" t="str">
        <f t="shared" si="1"/>
        <v>?</v>
      </c>
      <c r="I32" s="1">
        <v>0.13</v>
      </c>
      <c r="J32">
        <v>24.1</v>
      </c>
      <c r="K32" t="str">
        <f t="shared" si="2"/>
        <v>-</v>
      </c>
      <c r="L32">
        <v>1.2E-2</v>
      </c>
      <c r="M32">
        <v>22.6</v>
      </c>
      <c r="N32" t="str">
        <f t="shared" si="3"/>
        <v>-</v>
      </c>
      <c r="O32" s="1">
        <v>0.21</v>
      </c>
      <c r="P32">
        <v>29.6</v>
      </c>
      <c r="Q32" t="str">
        <f t="shared" si="4"/>
        <v>-</v>
      </c>
      <c r="R32">
        <v>6.4000000000000001E-2</v>
      </c>
      <c r="S32">
        <v>188.2</v>
      </c>
      <c r="T32" s="2" t="str">
        <f t="shared" si="5"/>
        <v>?</v>
      </c>
    </row>
    <row r="33" spans="1:20">
      <c r="A33" s="11" t="s">
        <v>9</v>
      </c>
      <c r="B33" s="13">
        <v>0.5</v>
      </c>
      <c r="C33">
        <v>-0.13</v>
      </c>
      <c r="D33">
        <v>-9.1999999999999993</v>
      </c>
      <c r="E33" t="str">
        <f t="shared" si="0"/>
        <v>-</v>
      </c>
      <c r="F33">
        <v>-1.0999999999999999E-2</v>
      </c>
      <c r="G33">
        <v>-8.5</v>
      </c>
      <c r="H33" t="str">
        <f t="shared" si="1"/>
        <v>-</v>
      </c>
      <c r="I33" s="1">
        <v>-0.21</v>
      </c>
      <c r="J33">
        <v>-15.2</v>
      </c>
      <c r="K33" t="str">
        <f t="shared" si="2"/>
        <v>-</v>
      </c>
      <c r="L33">
        <v>1E-3</v>
      </c>
      <c r="M33">
        <v>0.9</v>
      </c>
      <c r="N33" t="str">
        <f t="shared" si="3"/>
        <v>-</v>
      </c>
      <c r="O33" s="1">
        <v>-0.33</v>
      </c>
      <c r="P33">
        <v>-24.4</v>
      </c>
      <c r="Q33" t="str">
        <f t="shared" si="4"/>
        <v>-</v>
      </c>
      <c r="R33">
        <v>-3.2000000000000001E-2</v>
      </c>
      <c r="S33">
        <v>-26.2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-0.09</v>
      </c>
      <c r="D34">
        <v>-6.3</v>
      </c>
      <c r="E34" t="str">
        <f t="shared" si="0"/>
        <v>-</v>
      </c>
      <c r="F34">
        <v>-1E-3</v>
      </c>
      <c r="G34">
        <v>-0.8</v>
      </c>
      <c r="H34" t="str">
        <f t="shared" si="1"/>
        <v>-</v>
      </c>
      <c r="I34" s="1">
        <v>-0.4</v>
      </c>
      <c r="J34">
        <v>-29.9</v>
      </c>
      <c r="K34" t="str">
        <f t="shared" si="2"/>
        <v>-</v>
      </c>
      <c r="L34">
        <v>-7.0000000000000001E-3</v>
      </c>
      <c r="M34">
        <v>-7.6</v>
      </c>
      <c r="N34" t="str">
        <f t="shared" si="3"/>
        <v>-</v>
      </c>
      <c r="O34" s="1">
        <v>-0.39</v>
      </c>
      <c r="P34">
        <v>-29.8</v>
      </c>
      <c r="Q34" t="str">
        <f t="shared" si="4"/>
        <v>-</v>
      </c>
      <c r="R34">
        <v>-2E-3</v>
      </c>
      <c r="S34">
        <v>-2.2000000000000002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-1.08</v>
      </c>
      <c r="D35">
        <v>-29.3</v>
      </c>
      <c r="E35" t="str">
        <f t="shared" si="0"/>
        <v>-</v>
      </c>
      <c r="F35">
        <v>-5.6000000000000001E-2</v>
      </c>
      <c r="G35">
        <v>-28.1</v>
      </c>
      <c r="H35" t="str">
        <f t="shared" si="1"/>
        <v>-</v>
      </c>
      <c r="I35" s="1">
        <v>-0.09</v>
      </c>
      <c r="J35">
        <v>-3</v>
      </c>
      <c r="K35" t="str">
        <f t="shared" si="2"/>
        <v>-</v>
      </c>
      <c r="L35">
        <v>-1E-3</v>
      </c>
      <c r="M35">
        <v>-0.7</v>
      </c>
      <c r="N35" t="str">
        <f t="shared" si="3"/>
        <v>-</v>
      </c>
      <c r="O35" s="1">
        <v>0.18</v>
      </c>
      <c r="P35">
        <v>6</v>
      </c>
      <c r="Q35" t="str">
        <f t="shared" si="4"/>
        <v>-</v>
      </c>
      <c r="R35">
        <v>4.0000000000000001E-3</v>
      </c>
      <c r="S35">
        <v>2.8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0.11</v>
      </c>
      <c r="D36">
        <v>12</v>
      </c>
      <c r="E36" t="str">
        <f t="shared" si="0"/>
        <v>-</v>
      </c>
      <c r="F36">
        <v>7.8E-2</v>
      </c>
      <c r="G36">
        <v>205.3</v>
      </c>
      <c r="H36" t="str">
        <f t="shared" si="1"/>
        <v>?</v>
      </c>
      <c r="I36" s="1">
        <v>0.26</v>
      </c>
      <c r="J36">
        <v>45.6</v>
      </c>
      <c r="K36" t="str">
        <f t="shared" si="2"/>
        <v>-</v>
      </c>
      <c r="L36">
        <v>8.0000000000000002E-3</v>
      </c>
      <c r="M36">
        <v>15.7</v>
      </c>
      <c r="N36" t="str">
        <f t="shared" si="3"/>
        <v>-</v>
      </c>
      <c r="O36" s="1">
        <v>0.42</v>
      </c>
      <c r="P36">
        <v>65.599999999999994</v>
      </c>
      <c r="Q36" t="str">
        <f t="shared" si="4"/>
        <v>?</v>
      </c>
      <c r="R36">
        <v>8.1000000000000003E-2</v>
      </c>
      <c r="S36">
        <v>155.80000000000001</v>
      </c>
      <c r="T36" s="2" t="str">
        <f t="shared" si="5"/>
        <v>?</v>
      </c>
    </row>
    <row r="37" spans="1:20">
      <c r="A37" s="11" t="s">
        <v>9</v>
      </c>
      <c r="B37" s="13">
        <v>0.6</v>
      </c>
      <c r="C37">
        <v>-0.3</v>
      </c>
      <c r="D37">
        <v>-18.600000000000001</v>
      </c>
      <c r="E37" t="str">
        <f t="shared" si="0"/>
        <v>-</v>
      </c>
      <c r="F37">
        <v>-0.02</v>
      </c>
      <c r="G37">
        <v>-14.2</v>
      </c>
      <c r="H37" t="str">
        <f t="shared" si="1"/>
        <v>-</v>
      </c>
      <c r="I37" s="1">
        <v>-0.34</v>
      </c>
      <c r="J37">
        <v>-21.3</v>
      </c>
      <c r="K37" t="str">
        <f t="shared" si="2"/>
        <v>-</v>
      </c>
      <c r="L37">
        <v>-8.9999999999999993E-3</v>
      </c>
      <c r="M37">
        <v>-7.1</v>
      </c>
      <c r="N37" t="str">
        <f t="shared" si="3"/>
        <v>-</v>
      </c>
      <c r="O37" s="1">
        <v>-0.34</v>
      </c>
      <c r="P37">
        <v>-21.5</v>
      </c>
      <c r="Q37" t="str">
        <f t="shared" si="4"/>
        <v>-</v>
      </c>
      <c r="R37">
        <v>-2.1000000000000001E-2</v>
      </c>
      <c r="S37">
        <v>-16.3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-0.36</v>
      </c>
      <c r="D38">
        <v>-24.5</v>
      </c>
      <c r="E38" t="str">
        <f t="shared" si="0"/>
        <v>-</v>
      </c>
      <c r="F38">
        <v>-8.9999999999999993E-3</v>
      </c>
      <c r="G38">
        <v>-9.1999999999999993</v>
      </c>
      <c r="H38" t="str">
        <f t="shared" si="1"/>
        <v>-</v>
      </c>
      <c r="I38" s="1">
        <v>-0.41</v>
      </c>
      <c r="J38">
        <v>-27.2</v>
      </c>
      <c r="K38" t="str">
        <f t="shared" si="2"/>
        <v>-</v>
      </c>
      <c r="L38">
        <v>3.0000000000000001E-3</v>
      </c>
      <c r="M38">
        <v>3.2</v>
      </c>
      <c r="N38" t="str">
        <f t="shared" si="3"/>
        <v>-</v>
      </c>
      <c r="O38" s="1">
        <v>-0.28000000000000003</v>
      </c>
      <c r="P38">
        <v>-20.100000000000001</v>
      </c>
      <c r="Q38" t="str">
        <f t="shared" si="4"/>
        <v>-</v>
      </c>
      <c r="R38">
        <v>1.4E-2</v>
      </c>
      <c r="S38">
        <v>15.6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-0.31</v>
      </c>
      <c r="D39">
        <v>-8.5</v>
      </c>
      <c r="E39" t="str">
        <f t="shared" si="0"/>
        <v>-</v>
      </c>
      <c r="F39">
        <v>-1.2E-2</v>
      </c>
      <c r="G39">
        <v>-5.6</v>
      </c>
      <c r="H39" t="str">
        <f t="shared" si="1"/>
        <v>-</v>
      </c>
      <c r="I39" s="1">
        <v>-0.09</v>
      </c>
      <c r="J39">
        <v>-2.8</v>
      </c>
      <c r="K39" t="str">
        <f t="shared" si="2"/>
        <v>-</v>
      </c>
      <c r="L39">
        <v>-1.7999999999999999E-2</v>
      </c>
      <c r="M39">
        <v>-10.6</v>
      </c>
      <c r="N39" t="str">
        <f t="shared" si="3"/>
        <v>-</v>
      </c>
      <c r="O39" s="1">
        <v>0.12</v>
      </c>
      <c r="P39">
        <v>3.8</v>
      </c>
      <c r="Q39" t="str">
        <f t="shared" si="4"/>
        <v>-</v>
      </c>
      <c r="R39">
        <v>-7.0000000000000001E-3</v>
      </c>
      <c r="S39">
        <v>-4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0.23</v>
      </c>
      <c r="D40">
        <v>22.1</v>
      </c>
      <c r="E40" t="str">
        <f t="shared" si="0"/>
        <v>-</v>
      </c>
      <c r="F40">
        <v>5.5E-2</v>
      </c>
      <c r="G40">
        <v>71.400000000000006</v>
      </c>
      <c r="H40" t="str">
        <f t="shared" si="1"/>
        <v>?</v>
      </c>
      <c r="I40" s="1">
        <v>0.31</v>
      </c>
      <c r="J40">
        <v>53.4</v>
      </c>
      <c r="K40" t="str">
        <f t="shared" si="2"/>
        <v>?</v>
      </c>
      <c r="L40">
        <v>2.9000000000000001E-2</v>
      </c>
      <c r="M40">
        <v>74.400000000000006</v>
      </c>
      <c r="N40" t="str">
        <f t="shared" si="3"/>
        <v>?</v>
      </c>
      <c r="O40" s="1">
        <v>0.35</v>
      </c>
      <c r="P40">
        <v>55.6</v>
      </c>
      <c r="Q40" t="str">
        <f t="shared" si="4"/>
        <v>?</v>
      </c>
      <c r="R40">
        <v>-2E-3</v>
      </c>
      <c r="S40">
        <v>-3.8</v>
      </c>
      <c r="T40" s="2" t="str">
        <f t="shared" si="5"/>
        <v>-</v>
      </c>
    </row>
    <row r="41" spans="1:20">
      <c r="A41" s="11" t="s">
        <v>9</v>
      </c>
      <c r="B41" s="13">
        <v>0.7</v>
      </c>
      <c r="C41">
        <v>-0.59</v>
      </c>
      <c r="D41">
        <v>-30.3</v>
      </c>
      <c r="E41" t="str">
        <f t="shared" si="0"/>
        <v>-</v>
      </c>
      <c r="F41">
        <v>-1E-3</v>
      </c>
      <c r="G41">
        <v>-0.7</v>
      </c>
      <c r="H41" t="str">
        <f t="shared" si="1"/>
        <v>-</v>
      </c>
      <c r="I41" s="1">
        <v>-0.5</v>
      </c>
      <c r="J41">
        <v>-26.9</v>
      </c>
      <c r="K41" t="str">
        <f t="shared" si="2"/>
        <v>-</v>
      </c>
      <c r="L41">
        <v>-1.6E-2</v>
      </c>
      <c r="M41">
        <v>-11.3</v>
      </c>
      <c r="N41" t="str">
        <f t="shared" si="3"/>
        <v>-</v>
      </c>
      <c r="O41" s="1">
        <v>-0.46</v>
      </c>
      <c r="P41">
        <v>-25.1</v>
      </c>
      <c r="Q41" t="str">
        <f t="shared" si="4"/>
        <v>-</v>
      </c>
      <c r="R41">
        <v>-1.2E-2</v>
      </c>
      <c r="S41">
        <v>-8.5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-0.75</v>
      </c>
      <c r="D42">
        <v>-39.5</v>
      </c>
      <c r="E42" t="str">
        <f t="shared" si="0"/>
        <v>-</v>
      </c>
      <c r="F42">
        <v>-7.0000000000000001E-3</v>
      </c>
      <c r="G42">
        <v>-6.3</v>
      </c>
      <c r="H42" t="str">
        <f t="shared" si="1"/>
        <v>-</v>
      </c>
      <c r="I42" s="1">
        <v>-0.57999999999999996</v>
      </c>
      <c r="J42">
        <v>-35.200000000000003</v>
      </c>
      <c r="K42" t="str">
        <f t="shared" si="2"/>
        <v>-</v>
      </c>
      <c r="L42">
        <v>4.0000000000000001E-3</v>
      </c>
      <c r="M42">
        <v>4.4000000000000004</v>
      </c>
      <c r="N42" t="str">
        <f t="shared" si="3"/>
        <v>-</v>
      </c>
      <c r="O42" s="1">
        <v>-0.55000000000000004</v>
      </c>
      <c r="P42">
        <v>-33.1</v>
      </c>
      <c r="Q42" t="str">
        <f t="shared" si="4"/>
        <v>-</v>
      </c>
      <c r="R42">
        <v>8.0000000000000002E-3</v>
      </c>
      <c r="S42">
        <v>8.1999999999999993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-0.73</v>
      </c>
      <c r="D43">
        <v>-14.8</v>
      </c>
      <c r="E43" t="str">
        <f t="shared" si="0"/>
        <v>-</v>
      </c>
      <c r="F43">
        <v>-1.4E-2</v>
      </c>
      <c r="G43">
        <v>-5.6</v>
      </c>
      <c r="H43" t="str">
        <f t="shared" si="1"/>
        <v>-</v>
      </c>
      <c r="I43" s="1">
        <v>-0.56999999999999995</v>
      </c>
      <c r="J43">
        <v>-12.9</v>
      </c>
      <c r="K43" t="str">
        <f t="shared" si="2"/>
        <v>-</v>
      </c>
      <c r="L43">
        <v>6.0000000000000001E-3</v>
      </c>
      <c r="M43">
        <v>2.8</v>
      </c>
      <c r="N43" t="str">
        <f t="shared" si="3"/>
        <v>-</v>
      </c>
      <c r="O43" s="1">
        <v>-0.5</v>
      </c>
      <c r="P43">
        <v>-11.4</v>
      </c>
      <c r="Q43" t="str">
        <f t="shared" si="4"/>
        <v>-</v>
      </c>
      <c r="R43">
        <v>8.0000000000000002E-3</v>
      </c>
      <c r="S43">
        <v>3.7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-0.3</v>
      </c>
      <c r="D44">
        <v>-28.6</v>
      </c>
      <c r="E44" t="str">
        <f t="shared" si="0"/>
        <v>-</v>
      </c>
      <c r="F44">
        <v>-1.6E-2</v>
      </c>
      <c r="G44">
        <v>-18.600000000000001</v>
      </c>
      <c r="H44" t="str">
        <f t="shared" si="1"/>
        <v>-</v>
      </c>
      <c r="I44" s="1">
        <v>0.59</v>
      </c>
      <c r="J44">
        <v>98.3</v>
      </c>
      <c r="K44" t="str">
        <f t="shared" si="2"/>
        <v>?</v>
      </c>
      <c r="L44">
        <v>0.02</v>
      </c>
      <c r="M44">
        <v>38.5</v>
      </c>
      <c r="N44" t="str">
        <f t="shared" si="3"/>
        <v>-</v>
      </c>
      <c r="O44" s="1">
        <v>0.21</v>
      </c>
      <c r="P44">
        <v>22.1</v>
      </c>
      <c r="Q44" t="str">
        <f t="shared" si="4"/>
        <v>-</v>
      </c>
      <c r="R44">
        <v>-0.02</v>
      </c>
      <c r="S44">
        <v>-24.4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-1.1399999999999999</v>
      </c>
      <c r="D45">
        <v>-45.6</v>
      </c>
      <c r="E45" t="str">
        <f t="shared" si="0"/>
        <v>-</v>
      </c>
      <c r="F45">
        <v>8.0000000000000002E-3</v>
      </c>
      <c r="G45">
        <v>5.5</v>
      </c>
      <c r="H45" t="str">
        <f t="shared" si="1"/>
        <v>-</v>
      </c>
      <c r="I45" s="1">
        <v>-0.36</v>
      </c>
      <c r="J45">
        <v>-14.7</v>
      </c>
      <c r="K45" t="str">
        <f t="shared" si="2"/>
        <v>-</v>
      </c>
      <c r="L45">
        <v>-8.0000000000000002E-3</v>
      </c>
      <c r="M45">
        <v>-4.9000000000000004</v>
      </c>
      <c r="N45" t="str">
        <f t="shared" si="3"/>
        <v>-</v>
      </c>
      <c r="O45" s="1">
        <v>7.0000000000000007E-2</v>
      </c>
      <c r="P45">
        <v>2.8</v>
      </c>
      <c r="Q45" t="str">
        <f t="shared" si="4"/>
        <v>-</v>
      </c>
      <c r="R45">
        <v>0</v>
      </c>
      <c r="S45">
        <v>0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-0.93</v>
      </c>
      <c r="D46">
        <v>-39.6</v>
      </c>
      <c r="E46" t="str">
        <f t="shared" si="0"/>
        <v>-</v>
      </c>
      <c r="F46">
        <v>-4.0000000000000001E-3</v>
      </c>
      <c r="G46">
        <v>-4</v>
      </c>
      <c r="H46" t="str">
        <f t="shared" si="1"/>
        <v>-</v>
      </c>
      <c r="I46" s="1">
        <v>0.35</v>
      </c>
      <c r="J46">
        <v>16</v>
      </c>
      <c r="K46" t="str">
        <f t="shared" si="2"/>
        <v>-</v>
      </c>
      <c r="L46">
        <v>9.1999999999999998E-2</v>
      </c>
      <c r="M46">
        <v>78.599999999999994</v>
      </c>
      <c r="N46" t="str">
        <f t="shared" si="3"/>
        <v>?</v>
      </c>
      <c r="O46" s="1">
        <v>0.45</v>
      </c>
      <c r="P46">
        <v>20.7</v>
      </c>
      <c r="Q46" t="str">
        <f t="shared" si="4"/>
        <v>-</v>
      </c>
      <c r="R46">
        <v>8.8999999999999996E-2</v>
      </c>
      <c r="S46">
        <v>70.099999999999994</v>
      </c>
      <c r="T46" s="2" t="str">
        <f t="shared" si="5"/>
        <v>?</v>
      </c>
    </row>
    <row r="47" spans="1:20">
      <c r="A47" s="11" t="s">
        <v>12</v>
      </c>
      <c r="B47" s="13">
        <v>0.8</v>
      </c>
      <c r="C47">
        <v>-1.65</v>
      </c>
      <c r="D47">
        <v>-26.8</v>
      </c>
      <c r="E47" t="str">
        <f t="shared" si="0"/>
        <v>-</v>
      </c>
      <c r="F47">
        <v>-5.2999999999999999E-2</v>
      </c>
      <c r="G47">
        <v>-17.7</v>
      </c>
      <c r="H47" t="str">
        <f t="shared" si="1"/>
        <v>-</v>
      </c>
      <c r="I47" s="1">
        <v>1.57</v>
      </c>
      <c r="J47">
        <v>28.8</v>
      </c>
      <c r="K47" t="str">
        <f t="shared" si="2"/>
        <v>-</v>
      </c>
      <c r="L47">
        <v>-2.9000000000000001E-2</v>
      </c>
      <c r="M47">
        <v>-10.9</v>
      </c>
      <c r="N47" t="str">
        <f t="shared" si="3"/>
        <v>-</v>
      </c>
      <c r="O47" s="1">
        <v>2.27</v>
      </c>
      <c r="P47">
        <v>42.5</v>
      </c>
      <c r="Q47" t="str">
        <f t="shared" si="4"/>
        <v>-</v>
      </c>
      <c r="R47">
        <v>-6.0000000000000001E-3</v>
      </c>
      <c r="S47">
        <v>-2.2999999999999998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4.2300000000000004</v>
      </c>
      <c r="D48">
        <v>327.9</v>
      </c>
      <c r="E48" t="str">
        <f t="shared" si="0"/>
        <v>?</v>
      </c>
      <c r="F48">
        <v>2.9000000000000001E-2</v>
      </c>
      <c r="G48">
        <v>27.9</v>
      </c>
      <c r="H48" t="str">
        <f t="shared" si="1"/>
        <v>-</v>
      </c>
      <c r="I48" s="1">
        <v>6.8</v>
      </c>
      <c r="J48">
        <v>731.2</v>
      </c>
      <c r="K48" t="str">
        <f t="shared" si="2"/>
        <v>?</v>
      </c>
      <c r="L48">
        <v>0.17599999999999999</v>
      </c>
      <c r="M48">
        <v>231.6</v>
      </c>
      <c r="N48" t="str">
        <f t="shared" si="3"/>
        <v>?</v>
      </c>
      <c r="O48" s="1">
        <v>6.75</v>
      </c>
      <c r="P48">
        <v>544.4</v>
      </c>
      <c r="Q48" t="str">
        <f t="shared" si="4"/>
        <v>?</v>
      </c>
      <c r="R48">
        <v>0.17599999999999999</v>
      </c>
      <c r="S48">
        <v>275</v>
      </c>
      <c r="T48" s="2" t="str">
        <f t="shared" si="5"/>
        <v>?</v>
      </c>
    </row>
    <row r="49" spans="1:20">
      <c r="A49" s="11" t="s">
        <v>9</v>
      </c>
      <c r="B49" s="13">
        <v>0.9</v>
      </c>
      <c r="C49">
        <v>7.9</v>
      </c>
      <c r="D49">
        <v>150.5</v>
      </c>
      <c r="E49" t="str">
        <f t="shared" si="0"/>
        <v>?</v>
      </c>
      <c r="F49">
        <v>0.438</v>
      </c>
      <c r="G49">
        <v>198.2</v>
      </c>
      <c r="H49" t="str">
        <f t="shared" si="1"/>
        <v>?</v>
      </c>
      <c r="I49" s="1">
        <v>8.6999999999999993</v>
      </c>
      <c r="J49">
        <v>161.69999999999999</v>
      </c>
      <c r="K49" t="str">
        <f t="shared" si="2"/>
        <v>?</v>
      </c>
      <c r="L49">
        <v>0.317</v>
      </c>
      <c r="M49">
        <v>101.9</v>
      </c>
      <c r="N49" t="str">
        <f t="shared" si="3"/>
        <v>?</v>
      </c>
      <c r="O49" s="1">
        <v>8.68</v>
      </c>
      <c r="P49">
        <v>162.5</v>
      </c>
      <c r="Q49" t="str">
        <f t="shared" si="4"/>
        <v>?</v>
      </c>
      <c r="R49">
        <v>0.33800000000000002</v>
      </c>
      <c r="S49">
        <v>115.8</v>
      </c>
      <c r="T49" s="2" t="str">
        <f t="shared" si="5"/>
        <v>?</v>
      </c>
    </row>
    <row r="50" spans="1:20">
      <c r="A50" s="11" t="s">
        <v>11</v>
      </c>
      <c r="B50" s="13">
        <v>0.9</v>
      </c>
      <c r="C50">
        <v>8.69</v>
      </c>
      <c r="D50">
        <v>210.9</v>
      </c>
      <c r="E50" t="str">
        <f t="shared" si="0"/>
        <v>?</v>
      </c>
      <c r="F50">
        <v>0.28599999999999998</v>
      </c>
      <c r="G50">
        <v>179.9</v>
      </c>
      <c r="H50" t="str">
        <f t="shared" si="1"/>
        <v>?</v>
      </c>
      <c r="I50" s="1">
        <v>8.08</v>
      </c>
      <c r="J50">
        <v>201</v>
      </c>
      <c r="K50" t="str">
        <f t="shared" si="2"/>
        <v>?</v>
      </c>
      <c r="L50">
        <v>0.39200000000000002</v>
      </c>
      <c r="M50">
        <v>210.8</v>
      </c>
      <c r="N50" t="str">
        <f t="shared" si="3"/>
        <v>?</v>
      </c>
      <c r="O50" s="1">
        <v>8.1199999999999992</v>
      </c>
      <c r="P50">
        <v>204</v>
      </c>
      <c r="Q50" t="str">
        <f t="shared" si="4"/>
        <v>?</v>
      </c>
      <c r="R50">
        <v>0.39</v>
      </c>
      <c r="S50">
        <v>208.6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-1.52</v>
      </c>
      <c r="D51">
        <v>-14.3</v>
      </c>
      <c r="E51" t="str">
        <f t="shared" si="0"/>
        <v>-</v>
      </c>
      <c r="F51">
        <v>-9.8000000000000004E-2</v>
      </c>
      <c r="G51">
        <v>-25.1</v>
      </c>
      <c r="H51" t="str">
        <f t="shared" si="1"/>
        <v>-</v>
      </c>
      <c r="I51" s="1">
        <v>1.46</v>
      </c>
      <c r="J51">
        <v>15</v>
      </c>
      <c r="K51" t="str">
        <f t="shared" si="2"/>
        <v>-</v>
      </c>
      <c r="L51">
        <v>0.21199999999999999</v>
      </c>
      <c r="M51">
        <v>51.7</v>
      </c>
      <c r="N51" t="str">
        <f t="shared" si="3"/>
        <v>?</v>
      </c>
      <c r="O51" s="1">
        <v>1.68</v>
      </c>
      <c r="P51">
        <v>17.399999999999999</v>
      </c>
      <c r="Q51" t="str">
        <f t="shared" si="4"/>
        <v>-</v>
      </c>
      <c r="R51">
        <v>0.21199999999999999</v>
      </c>
      <c r="S51">
        <v>53.1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13.68</v>
      </c>
      <c r="D52">
        <v>524.1</v>
      </c>
      <c r="E52" t="str">
        <f t="shared" si="0"/>
        <v>?</v>
      </c>
      <c r="F52">
        <v>0.42899999999999999</v>
      </c>
      <c r="G52">
        <v>572</v>
      </c>
      <c r="H52" t="str">
        <f t="shared" si="1"/>
        <v>?</v>
      </c>
      <c r="I52" s="1">
        <v>13.65</v>
      </c>
      <c r="J52">
        <v>552.6</v>
      </c>
      <c r="K52" t="str">
        <f t="shared" si="2"/>
        <v>?</v>
      </c>
      <c r="L52">
        <v>0.39100000000000001</v>
      </c>
      <c r="M52">
        <v>558.6</v>
      </c>
      <c r="N52" t="str">
        <f t="shared" si="3"/>
        <v>?</v>
      </c>
      <c r="O52" s="1">
        <v>13.23</v>
      </c>
      <c r="P52">
        <v>472.5</v>
      </c>
      <c r="Q52" t="str">
        <f t="shared" si="4"/>
        <v>?</v>
      </c>
      <c r="R52">
        <v>0.379</v>
      </c>
      <c r="S52">
        <v>407.5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0.26416666666666683</v>
      </c>
      <c r="D56">
        <f>AVERAGE(D$5:D$52)</f>
        <v>11.720833333333337</v>
      </c>
      <c r="F56">
        <f>AVERAGE(F$5:F$52)</f>
        <v>2.0687499999999998E-2</v>
      </c>
      <c r="G56">
        <f>AVERAGE(G$5:G$52)</f>
        <v>28.629166666666663</v>
      </c>
      <c r="H56" s="25"/>
      <c r="I56" s="1">
        <f>AVERAGE(I$5:I$52)</f>
        <v>0.58000000000000007</v>
      </c>
      <c r="J56">
        <f>AVERAGE(J$5:J$52)</f>
        <v>31.966666666666669</v>
      </c>
      <c r="L56">
        <f>AVERAGE(L$5:L$52)</f>
        <v>2.9062500000000002E-2</v>
      </c>
      <c r="M56">
        <f>AVERAGE(M$5:M$52)</f>
        <v>29.518750000000001</v>
      </c>
      <c r="N56" s="2"/>
      <c r="O56" s="25">
        <f>AVERAGE(O$5:O$52)</f>
        <v>0.59624999999999995</v>
      </c>
      <c r="P56">
        <f>AVERAGE(P$5:P$52)</f>
        <v>21.062500000000004</v>
      </c>
      <c r="R56">
        <f>AVERAGE(R$5:R$52)</f>
        <v>3.1333333333333331E-2</v>
      </c>
      <c r="S56">
        <f>AVERAGE(S$5:S$52)</f>
        <v>30.870833333333334</v>
      </c>
      <c r="T56" s="25"/>
    </row>
    <row r="57" spans="1:20">
      <c r="B57" s="4" t="s">
        <v>20</v>
      </c>
      <c r="C57" s="25">
        <f>MEDIAN(C$5:C$52)</f>
        <v>-0.26</v>
      </c>
      <c r="D57">
        <f>MEDIAN(D$5:D$52)</f>
        <v>-13.600000000000001</v>
      </c>
      <c r="F57">
        <f>MEDIAN(F$5:F$52)</f>
        <v>-5.0000000000000001E-3</v>
      </c>
      <c r="G57">
        <f>MEDIAN(G$5:G$52)</f>
        <v>-4.1500000000000004</v>
      </c>
      <c r="H57" s="25"/>
      <c r="I57" s="1">
        <f>MEDIAN(I$5:I$52)</f>
        <v>-0.2</v>
      </c>
      <c r="J57">
        <f>MEDIAN(J$5:J$52)</f>
        <v>-13.600000000000001</v>
      </c>
      <c r="L57">
        <f>MEDIAN(L$5:L$52)</f>
        <v>1E-3</v>
      </c>
      <c r="M57">
        <f>MEDIAN(M$5:M$52)</f>
        <v>1.55</v>
      </c>
      <c r="N57" s="2"/>
      <c r="O57" s="25">
        <f>MEDIAN(O$5:O$52)</f>
        <v>-0.215</v>
      </c>
      <c r="P57">
        <f>MEDIAN(P$5:P$52)</f>
        <v>-9.5</v>
      </c>
      <c r="R57">
        <f>MEDIAN(R$5:R$52)</f>
        <v>5.0000000000000001E-4</v>
      </c>
      <c r="S57">
        <f>MEDIAN(S$5:S$52)</f>
        <v>0.45</v>
      </c>
      <c r="T57" s="25"/>
    </row>
    <row r="58" spans="1:20">
      <c r="B58" s="4" t="s">
        <v>21</v>
      </c>
      <c r="C58" s="25">
        <f>STDEV(C$5:C$52)</f>
        <v>2.8042322371223665</v>
      </c>
      <c r="D58">
        <f>STDEV(D$5:D$52)</f>
        <v>100.56012482924709</v>
      </c>
      <c r="F58">
        <f>STDEV(F$5:F$52)</f>
        <v>0.10200566447558872</v>
      </c>
      <c r="G58">
        <f>STDEV(G$5:G$52)</f>
        <v>98.545779313816254</v>
      </c>
      <c r="H58" s="25"/>
      <c r="I58" s="1">
        <f>STDEV(I$5:I$52)</f>
        <v>2.847632088356622</v>
      </c>
      <c r="J58">
        <f>STDEV(J$5:J$52)</f>
        <v>140.14744717744455</v>
      </c>
      <c r="L58">
        <f>STDEV(L$5:L$52)</f>
        <v>0.10152547238281236</v>
      </c>
      <c r="M58">
        <f>STDEV(M$5:M$52)</f>
        <v>95.37492122358087</v>
      </c>
      <c r="N58" s="2"/>
      <c r="O58" s="25">
        <f>STDEV(O$5:O$52)</f>
        <v>2.7976286500945378</v>
      </c>
      <c r="P58">
        <f>STDEV(P$5:P$52)</f>
        <v>113.08791839641422</v>
      </c>
      <c r="R58">
        <f>STDEV(R$5:R$52)</f>
        <v>0.10089120606372444</v>
      </c>
      <c r="S58">
        <f>STDEV(S$5:S$52)</f>
        <v>85.613408569863367</v>
      </c>
      <c r="T58" s="25"/>
    </row>
    <row r="59" spans="1:20">
      <c r="B59" s="4" t="s">
        <v>22</v>
      </c>
      <c r="C59" s="25">
        <f>COUNTIF(C$5:C$52, "&lt;0")</f>
        <v>36</v>
      </c>
      <c r="D59">
        <f>COUNTIF(D$5:D$52, "&lt;0")</f>
        <v>36</v>
      </c>
      <c r="F59">
        <f>COUNTIF(F$5:F$52, "&lt;0")</f>
        <v>27</v>
      </c>
      <c r="G59">
        <f>COUNTIF(G$5:G$52, "&lt;0")</f>
        <v>27</v>
      </c>
      <c r="H59" s="25"/>
      <c r="I59" s="1">
        <f>COUNTIF(I$5:I$52, "&lt;0")</f>
        <v>30</v>
      </c>
      <c r="J59">
        <f>COUNTIF(J$5:J$52, "&lt;0")</f>
        <v>30</v>
      </c>
      <c r="L59">
        <f>COUNTIF(L$5:L$52, "&lt;0")</f>
        <v>22</v>
      </c>
      <c r="M59">
        <f>COUNTIF(M$5:M$52, "&lt;0")</f>
        <v>22</v>
      </c>
      <c r="N59" s="2"/>
      <c r="O59" s="25">
        <f>COUNTIF(O$5:O$52, "&lt;0")</f>
        <v>28</v>
      </c>
      <c r="P59">
        <f>COUNTIF(P$5:P$52, "&lt;0")</f>
        <v>28</v>
      </c>
      <c r="R59">
        <f>COUNTIF(R$5:R$52, "&lt;0")</f>
        <v>23</v>
      </c>
      <c r="S59">
        <f>COUNTIF(S$5:S$52, "&lt;0")</f>
        <v>23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-0.50541666666666651</v>
      </c>
      <c r="D63">
        <f>AVERAGE(D$5:D$28)</f>
        <v>-15.47083333333333</v>
      </c>
      <c r="F63">
        <f>AVERAGE(F$5:F$28)</f>
        <v>-5.6250000000000007E-3</v>
      </c>
      <c r="G63">
        <f>AVERAGE(G$5:G$28)</f>
        <v>4.2333333333333334</v>
      </c>
      <c r="H63" s="25"/>
      <c r="I63" s="1">
        <f>AVERAGE(I$5:I$28)</f>
        <v>-0.3899999999999999</v>
      </c>
      <c r="J63">
        <f>AVERAGE(J$5:J$28)</f>
        <v>-5.7083333333333348</v>
      </c>
      <c r="L63">
        <f>AVERAGE(L$5:L$28)</f>
        <v>-5.000000000000001E-3</v>
      </c>
      <c r="M63">
        <f>AVERAGE(M$5:M$28)</f>
        <v>4.9666666666666668</v>
      </c>
      <c r="N63" s="2"/>
      <c r="O63" s="25">
        <f>AVERAGE(O$5:O$28)</f>
        <v>-0.4433333333333333</v>
      </c>
      <c r="P63">
        <f>AVERAGE(P$5:P$28)</f>
        <v>-18.295833333333331</v>
      </c>
      <c r="R63">
        <f>AVERAGE(R$5:R$28)</f>
        <v>-4.458333333333335E-3</v>
      </c>
      <c r="S63">
        <f>AVERAGE(S$5:S$28)</f>
        <v>4.3083333333333336</v>
      </c>
      <c r="T63" s="25"/>
    </row>
    <row r="64" spans="1:20">
      <c r="B64" s="4" t="s">
        <v>20</v>
      </c>
      <c r="C64" s="25">
        <f>MEDIAN(C$5:C$28)</f>
        <v>-0.21000000000000002</v>
      </c>
      <c r="D64">
        <f>MEDIAN(D$5:D$28)</f>
        <v>-13.8</v>
      </c>
      <c r="F64">
        <f>MEDIAN(F$5:F$28)</f>
        <v>-7.4999999999999997E-3</v>
      </c>
      <c r="G64">
        <f>MEDIAN(G$5:G$28)</f>
        <v>-5.75</v>
      </c>
      <c r="H64" s="25"/>
      <c r="I64" s="1">
        <f>MEDIAN(I$5:I$28)</f>
        <v>-0.29499999999999998</v>
      </c>
      <c r="J64">
        <f>MEDIAN(J$5:J$28)</f>
        <v>-18.350000000000001</v>
      </c>
      <c r="L64">
        <f>MEDIAN(L$5:L$28)</f>
        <v>-5.0000000000000001E-3</v>
      </c>
      <c r="M64">
        <f>MEDIAN(M$5:M$28)</f>
        <v>-4.3</v>
      </c>
      <c r="N64" s="2"/>
      <c r="O64" s="25">
        <f>MEDIAN(O$5:O$28)</f>
        <v>-0.37</v>
      </c>
      <c r="P64">
        <f>MEDIAN(P$5:P$28)</f>
        <v>-18.649999999999999</v>
      </c>
      <c r="R64">
        <f>MEDIAN(R$5:R$28)</f>
        <v>-1E-3</v>
      </c>
      <c r="S64">
        <f>MEDIAN(S$5:S$28)</f>
        <v>-0.8</v>
      </c>
      <c r="T64" s="25"/>
    </row>
    <row r="65" spans="2:20">
      <c r="B65" s="4" t="s">
        <v>21</v>
      </c>
      <c r="C65" s="25">
        <f>STDEV(C$5:C$28)</f>
        <v>0.75554172426243238</v>
      </c>
      <c r="D65">
        <f>STDEV(D$5:D$28)</f>
        <v>23.718282787878998</v>
      </c>
      <c r="F65">
        <f>STDEV(F$5:F$28)</f>
        <v>2.8185430247928977E-2</v>
      </c>
      <c r="G65">
        <f>STDEV(G$5:G$28)</f>
        <v>35.764552120861197</v>
      </c>
      <c r="H65" s="25"/>
      <c r="I65" s="1">
        <f>STDEV(I$5:I$28)</f>
        <v>0.74365723754732715</v>
      </c>
      <c r="J65">
        <f>STDEV(J$5:J$28)</f>
        <v>42.789615935224958</v>
      </c>
      <c r="L65">
        <f>STDEV(L$5:L$28)</f>
        <v>3.4873685108452172E-2</v>
      </c>
      <c r="M65">
        <f>STDEV(M$5:M$28)</f>
        <v>36.145932078134344</v>
      </c>
      <c r="N65" s="2"/>
      <c r="O65" s="25">
        <f>STDEV(O$5:O$28)</f>
        <v>0.59989612627424127</v>
      </c>
      <c r="P65">
        <f>STDEV(P$5:P$28)</f>
        <v>21.55011306671976</v>
      </c>
      <c r="R65">
        <f>STDEV(R$5:R$28)</f>
        <v>2.7055465037692423E-2</v>
      </c>
      <c r="S65">
        <f>STDEV(S$5:S$28)</f>
        <v>30.324260866531429</v>
      </c>
      <c r="T65" s="25"/>
    </row>
    <row r="66" spans="2:20">
      <c r="B66" s="4" t="s">
        <v>22</v>
      </c>
      <c r="C66" s="25">
        <f>COUNTIF(C$5:C$28, "&lt;0")</f>
        <v>19</v>
      </c>
      <c r="D66">
        <f>COUNTIF(D$5:D$28, "&lt;0")</f>
        <v>19</v>
      </c>
      <c r="F66">
        <f>COUNTIF(F$5:F$28, "&lt;0")</f>
        <v>14</v>
      </c>
      <c r="G66">
        <f>COUNTIF(G$5:G$28, "&lt;0")</f>
        <v>14</v>
      </c>
      <c r="H66" s="25"/>
      <c r="I66" s="1">
        <f>COUNTIF(I$5:I$28, "&lt;0")</f>
        <v>17</v>
      </c>
      <c r="J66">
        <f>COUNTIF(J$5:J$28, "&lt;0")</f>
        <v>17</v>
      </c>
      <c r="L66">
        <f>COUNTIF(L$5:L$28, "&lt;0")</f>
        <v>13</v>
      </c>
      <c r="M66">
        <f>COUNTIF(M$5:M$28, "&lt;0")</f>
        <v>13</v>
      </c>
      <c r="N66" s="2"/>
      <c r="O66" s="25">
        <f>COUNTIF(O$5:O$28, "&lt;0")</f>
        <v>18</v>
      </c>
      <c r="P66">
        <f>COUNTIF(P$5:P$28, "&lt;0")</f>
        <v>18</v>
      </c>
      <c r="R66">
        <f>COUNTIF(R$5:R$28, "&lt;0")</f>
        <v>12</v>
      </c>
      <c r="S66">
        <f>COUNTIF(S$5:S$28, "&lt;0")</f>
        <v>12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1.0337500000000002</v>
      </c>
      <c r="D70">
        <f>AVERAGE(D$29:D$52)</f>
        <v>38.912500000000001</v>
      </c>
      <c r="F70">
        <f>AVERAGE(F$29:F$52)</f>
        <v>4.6999999999999993E-2</v>
      </c>
      <c r="G70">
        <f>AVERAGE(G$29:G$52)</f>
        <v>53.024999999999999</v>
      </c>
      <c r="H70" s="25"/>
      <c r="I70" s="1">
        <f>AVERAGE(I$29:I$52)</f>
        <v>1.55</v>
      </c>
      <c r="J70">
        <f>AVERAGE(J$29:J$52)</f>
        <v>69.641666666666666</v>
      </c>
      <c r="L70">
        <f>AVERAGE(L$29:L$52)</f>
        <v>6.3125000000000001E-2</v>
      </c>
      <c r="M70">
        <f>AVERAGE(M$29:M$52)</f>
        <v>54.070833333333347</v>
      </c>
      <c r="N70" s="2"/>
      <c r="O70" s="25">
        <f>AVERAGE(O$29:O$52)</f>
        <v>1.635833333333333</v>
      </c>
      <c r="P70">
        <f>AVERAGE(P$29:P$52)</f>
        <v>60.420833333333327</v>
      </c>
      <c r="R70">
        <f>AVERAGE(R$29:R$52)</f>
        <v>6.7125000000000004E-2</v>
      </c>
      <c r="S70">
        <f>AVERAGE(S$29:S$52)</f>
        <v>57.43333333333333</v>
      </c>
      <c r="T70" s="25"/>
    </row>
    <row r="71" spans="2:20">
      <c r="B71" s="4" t="s">
        <v>20</v>
      </c>
      <c r="C71" s="25">
        <f>MEDIAN(C$29:C$52)</f>
        <v>-0.3</v>
      </c>
      <c r="D71">
        <f>MEDIAN(D$29:D$52)</f>
        <v>-12.65</v>
      </c>
      <c r="F71">
        <f>MEDIAN(F$29:F$52)</f>
        <v>-1E-3</v>
      </c>
      <c r="G71">
        <f>MEDIAN(G$29:G$52)</f>
        <v>-0.75</v>
      </c>
      <c r="H71" s="25"/>
      <c r="I71" s="1">
        <f>MEDIAN(I$29:I$52)</f>
        <v>-0.09</v>
      </c>
      <c r="J71">
        <f>MEDIAN(J$29:J$52)</f>
        <v>-2.9</v>
      </c>
      <c r="L71">
        <f>MEDIAN(L$29:L$52)</f>
        <v>3.5000000000000001E-3</v>
      </c>
      <c r="M71">
        <f>MEDIAN(M$29:M$52)</f>
        <v>3</v>
      </c>
      <c r="N71" s="2"/>
      <c r="O71" s="25">
        <f>MEDIAN(O$29:O$52)</f>
        <v>0.15</v>
      </c>
      <c r="P71">
        <f>MEDIAN(P$29:P$52)</f>
        <v>4.9000000000000004</v>
      </c>
      <c r="R71">
        <f>MEDIAN(R$29:R$52)</f>
        <v>2E-3</v>
      </c>
      <c r="S71">
        <f>MEDIAN(S$29:S$52)</f>
        <v>1.4</v>
      </c>
      <c r="T71" s="25"/>
    </row>
    <row r="72" spans="2:20">
      <c r="B72" s="4" t="s">
        <v>21</v>
      </c>
      <c r="C72" s="25">
        <f>STDEV(C$29:C$52)</f>
        <v>3.7765694261372693</v>
      </c>
      <c r="D72">
        <f>STDEV(D$29:D$52)</f>
        <v>136.23039089048345</v>
      </c>
      <c r="F72">
        <f>STDEV(F$29:F$52)</f>
        <v>0.13792531060087493</v>
      </c>
      <c r="G72">
        <f>STDEV(G$29:G$52)</f>
        <v>131.61915167237831</v>
      </c>
      <c r="H72" s="25"/>
      <c r="I72" s="1">
        <f>STDEV(I$29:I$52)</f>
        <v>3.7488583769508792</v>
      </c>
      <c r="J72">
        <f>STDEV(J$29:J$52)</f>
        <v>187.99839017966332</v>
      </c>
      <c r="L72">
        <f>STDEV(L$29:L$52)</f>
        <v>0.13200537291436615</v>
      </c>
      <c r="M72">
        <f>STDEV(M$29:M$52)</f>
        <v>126.58471464550551</v>
      </c>
      <c r="N72" s="2"/>
      <c r="O72" s="25">
        <f>STDEV(O$29:O$52)</f>
        <v>3.6576529854975091</v>
      </c>
      <c r="P72">
        <f>STDEV(P$29:P$52)</f>
        <v>149.78827079861955</v>
      </c>
      <c r="R72">
        <f>STDEV(R$29:R$52)</f>
        <v>0.13189070326863697</v>
      </c>
      <c r="S72">
        <f>STDEV(S$29:S$52)</f>
        <v>112.18709786573602</v>
      </c>
      <c r="T72" s="25"/>
    </row>
    <row r="73" spans="2:20">
      <c r="B73" s="4" t="s">
        <v>22</v>
      </c>
      <c r="C73" s="25">
        <f>COUNTIF(C$29:C$52, "&lt;0")</f>
        <v>17</v>
      </c>
      <c r="D73">
        <f>COUNTIF(D$29:D$52, "&lt;0")</f>
        <v>17</v>
      </c>
      <c r="F73">
        <f>COUNTIF(F$29:F$52, "&lt;0")</f>
        <v>13</v>
      </c>
      <c r="G73">
        <f>COUNTIF(G$29:G$52, "&lt;0")</f>
        <v>13</v>
      </c>
      <c r="H73" s="25"/>
      <c r="I73" s="1">
        <f>COUNTIF(I$29:I$52, "&lt;0")</f>
        <v>13</v>
      </c>
      <c r="J73">
        <f>COUNTIF(J$29:J$52, "&lt;0")</f>
        <v>13</v>
      </c>
      <c r="L73">
        <f>COUNTIF(L$29:L$52, "&lt;0")</f>
        <v>9</v>
      </c>
      <c r="M73">
        <f>COUNTIF(M$29:M$52, "&lt;0")</f>
        <v>9</v>
      </c>
      <c r="N73" s="2"/>
      <c r="O73" s="25">
        <f>COUNTIF(O$29:O$52, "&lt;0")</f>
        <v>10</v>
      </c>
      <c r="P73">
        <f>COUNTIF(P$29:P$52, "&lt;0")</f>
        <v>10</v>
      </c>
      <c r="R73">
        <f>COUNTIF(R$29:R$52, "&lt;0")</f>
        <v>11</v>
      </c>
      <c r="S73">
        <f>COUNTIF(S$29:S$52, "&lt;0")</f>
        <v>11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0.48013888888888889</v>
      </c>
      <c r="D77">
        <f>AVERAGE(D$5:D$52,J$5:J$52,P$5:P$52)</f>
        <v>21.583333333333336</v>
      </c>
      <c r="F77">
        <f>AVERAGE(F$5:F$52,L$5:L$52,R$5:R$52)</f>
        <v>2.7027777777777789E-2</v>
      </c>
      <c r="G77">
        <f>AVERAGE(G$5:G$52,M$5:M$52,S$5:S$52)</f>
        <v>29.672916666666666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-0.215</v>
      </c>
      <c r="D78">
        <f>MEDIAN(D$5:D$52,J$5:J$52,P$5:P$52)</f>
        <v>-12.2</v>
      </c>
      <c r="F78">
        <f>MEDIAN(F$5:F$52,L$5:L$52,R$5:R$52)</f>
        <v>-5.0000000000000001E-4</v>
      </c>
      <c r="G78">
        <f>MEDIAN(G$5:G$52,M$5:M$52,S$5:S$52)</f>
        <v>-0.35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2.8010225370928827</v>
      </c>
      <c r="D79">
        <f>STDEV(D$5:D$52,J$5:J$52,P$5:P$52)</f>
        <v>118.5387594102346</v>
      </c>
      <c r="F79">
        <f>STDEV(F$5:F$52,L$5:L$52,R$5:R$52)</f>
        <v>0.1008677001288962</v>
      </c>
      <c r="G79">
        <f>STDEV(G$5:G$52,M$5:M$52,S$5:S$52)</f>
        <v>92.690005359431652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94</v>
      </c>
      <c r="D80">
        <f>COUNTIF(D$5:D$52, "&lt;0")+COUNTIF(J$5:J$52, "&lt;0")+COUNTIF(P$5:P$52, "&lt;0")</f>
        <v>94</v>
      </c>
      <c r="F80">
        <f>COUNTIF(F$5:F$52, "&lt;0")+COUNTIF(L$5:L$52, "&lt;0")+COUNTIF(R$5:R$52, "&lt;0")</f>
        <v>72</v>
      </c>
      <c r="G80">
        <f>COUNTIF(G$5:G$52, "&lt;0")+COUNTIF(M$5:M$52, "&lt;0")+COUNTIF(S$5:S$52, "&lt;0")</f>
        <v>72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1.2516666666666669</v>
      </c>
      <c r="D83" cm="1">
        <f t="array" ref="D83">AVERAGE(ABS(D$5:D$52),ABS(J$5:J$52),ABS(P$5:P$52))</f>
        <v>53.045833333333348</v>
      </c>
      <c r="F83" cm="1">
        <f t="array" ref="F83">AVERAGE(ABS(F$5:F$52),ABS(L$5:L$52),ABS(R$5:R$52))</f>
        <v>4.9611111111111085E-2</v>
      </c>
      <c r="G83" cm="1">
        <f t="array" ref="G83">AVERAGE(ABS(G$5:G$52),ABS(M$5:M$52),ABS(S$5:S$52))</f>
        <v>43.424305555555549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0.39500000000000002</v>
      </c>
      <c r="D84" cm="1">
        <f t="array" ref="D84">MEDIAN(ABS(D$5:D$52),ABS(J$5:J$52),ABS(P$5:P$52))</f>
        <v>25.05</v>
      </c>
      <c r="F84" cm="1">
        <f t="array" ref="F84">MEDIAN(ABS(F$5:F$52),ABS(L$5:L$52),ABS(R$5:R$52))</f>
        <v>1.7500000000000002E-2</v>
      </c>
      <c r="G84" cm="1">
        <f t="array" ref="G84">MEDIAN(ABS(G$5:G$52),ABS(M$5:M$52),ABS(S$5:S$52))</f>
        <v>15.75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2.5495583053634112</v>
      </c>
      <c r="D85" cm="1">
        <f t="array" ref="D85">STDEV(ABS(D$5:D$52),ABS(J$5:J$52),ABS(P$5:P$52))</f>
        <v>108.1064179634822</v>
      </c>
      <c r="F85" cm="1">
        <f t="array" ref="F85">STDEV(ABS(F$5:F$52),ABS(L$5:L$52),ABS(R$5:R$52))</f>
        <v>9.1822808318130444E-2</v>
      </c>
      <c r="G85" cm="1">
        <f t="array" ref="G85">STDEV(ABS(G$5:G$52),ABS(M$5:M$52),ABS(S$5:S$52))</f>
        <v>87.058712803709938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-0.44625000000000004</v>
      </c>
      <c r="D89">
        <f>AVERAGE(D$5:D$28,J$5:J$28,P$5:P$28)</f>
        <v>-13.158333333333333</v>
      </c>
      <c r="F89">
        <f>AVERAGE(F$5:F$28,L$5:L$28,R$5:R$28)</f>
        <v>-5.027777777777776E-3</v>
      </c>
      <c r="G89">
        <f>AVERAGE(G$5:G$28,M$5:M$28,S$5:S$28)</f>
        <v>4.5027777777777773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-0.29499999999999998</v>
      </c>
      <c r="D90">
        <f>MEDIAN(D$5:D$28,J$5:J$28,P$5:P$28)</f>
        <v>-17.5</v>
      </c>
      <c r="F90">
        <f>MEDIAN(F$5:F$28,L$5:L$28,R$5:R$28)</f>
        <v>-5.0000000000000001E-3</v>
      </c>
      <c r="G90">
        <f>MEDIAN(G$5:G$28,M$5:M$28,S$5:S$28)</f>
        <v>-4.4499999999999993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0.69491399305703916</v>
      </c>
      <c r="D91">
        <f>STDEV(D$5:D$28,J$5:J$28,P$5:P$28)</f>
        <v>30.907840064695378</v>
      </c>
      <c r="F91">
        <f>STDEV(F$5:F$28,L$5:L$28,R$5:R$28)</f>
        <v>2.9810657051890267E-2</v>
      </c>
      <c r="G91">
        <f>STDEV(G$5:G$28,M$5:M$28,S$5:S$28)</f>
        <v>33.698589313986702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54</v>
      </c>
      <c r="D92">
        <f>COUNTIF(D$5:D$28, "&lt;0")+COUNTIF(J$5:J$28, "&lt;0")+COUNTIF(P$5:P$28, "&lt;0")</f>
        <v>54</v>
      </c>
      <c r="F92">
        <f>COUNTIF(F$5:F$28, "&lt;0")+COUNTIF(L$5:L$28, "&lt;0")+COUNTIF(R$5:R$28, "&lt;0")</f>
        <v>39</v>
      </c>
      <c r="G92">
        <f>COUNTIF(G$5:G$28, "&lt;0")+COUNTIF(M$5:M$28, "&lt;0")+COUNTIF(S$5:S$28, "&lt;0")</f>
        <v>39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0.57819444444444446</v>
      </c>
      <c r="D95" cm="1">
        <f t="array" ref="D95">AVERAGE(ABS(D$5:D$28),ABS(J$5:J$28),ABS(P$5:P$28))</f>
        <v>26.944444444444439</v>
      </c>
      <c r="F95" cm="1">
        <f t="array" ref="F95">AVERAGE(ABS(F$5:F$28),ABS(L$5:L$28),ABS(R$5:R$28))</f>
        <v>2.3388888888888872E-2</v>
      </c>
      <c r="G95" cm="1">
        <f t="array" ref="G95">AVERAGE(ABS(G$5:G$28),ABS(M$5:M$28),ABS(S$5:S$28))</f>
        <v>21.741666666666674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0.37</v>
      </c>
      <c r="D96" cm="1">
        <f t="array" ref="D96">MEDIAN(ABS(D$5:D$28),ABS(J$5:J$28),ABS(P$5:P$28))</f>
        <v>24.9</v>
      </c>
      <c r="F96" cm="1">
        <f t="array" ref="F96">MEDIAN(ABS(F$5:F$28),ABS(L$5:L$28),ABS(R$5:R$28))</f>
        <v>1.8000000000000002E-2</v>
      </c>
      <c r="G96" cm="1">
        <f t="array" ref="G96">MEDIAN(ABS(G$5:G$28),ABS(M$5:M$28),ABS(S$5:S$28))</f>
        <v>15.850000000000001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0.5880747446718092</v>
      </c>
      <c r="D97" cm="1">
        <f t="array" ref="D97">STDEV(ABS(D$5:D$28),ABS(J$5:J$28),ABS(P$5:P$28))</f>
        <v>19.865710346583015</v>
      </c>
      <c r="F97" cm="1">
        <f t="array" ref="F97">STDEV(ABS(F$5:F$28),ABS(L$5:L$28),ABS(R$5:R$28))</f>
        <v>1.8962197795269357E-2</v>
      </c>
      <c r="G97" cm="1">
        <f t="array" ref="G97">STDEV(ABS(G$5:G$28),ABS(M$5:M$28),ABS(S$5:S$28))</f>
        <v>26.015335401573015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1.406527777777778</v>
      </c>
      <c r="D101">
        <f>AVERAGE(D$29:D$52,J$29:J$52,P$29:P$52)</f>
        <v>56.324999999999996</v>
      </c>
      <c r="F101">
        <f>AVERAGE(F$29:F$52,L$29:L$52,R$29:R$52)</f>
        <v>5.9083333333333349E-2</v>
      </c>
      <c r="G101">
        <f>AVERAGE(G$29:G$52,M$29:M$52,S$29:S$52)</f>
        <v>54.843055555555551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-0.09</v>
      </c>
      <c r="D102">
        <f>MEDIAN(D$29:D$52,J$29:J$52,P$29:P$52)</f>
        <v>-7.15</v>
      </c>
      <c r="F102">
        <f>MEDIAN(F$29:F$52,L$29:L$52,R$29:R$52)</f>
        <v>1.5E-3</v>
      </c>
      <c r="G102">
        <f>MEDIAN(G$29:G$52,M$29:M$52,S$29:S$52)</f>
        <v>1.1499999999999999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3.6848995857369036</v>
      </c>
      <c r="D103">
        <f>STDEV(D$29:D$52,J$29:J$52,P$29:P$52)</f>
        <v>157.7894851367426</v>
      </c>
      <c r="F103">
        <f>STDEV(F$29:F$52,L$29:L$52,R$29:R$52)</f>
        <v>0.13235991797868393</v>
      </c>
      <c r="G103">
        <f>STDEV(G$29:G$52,M$29:M$52,S$29:S$52)</f>
        <v>121.99740799184735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40</v>
      </c>
      <c r="D104">
        <f>COUNTIF(D$29:D$52, "&lt;0")+COUNTIF(J$29:J$52, "&lt;0")+COUNTIF(P$29:P$52, "&lt;0")</f>
        <v>40</v>
      </c>
      <c r="F104">
        <f>COUNTIF(F$29:F$52, "&lt;0")+COUNTIF(L$29:L$52, "&lt;0")+COUNTIF(R$29:R$52, "&lt;0")</f>
        <v>33</v>
      </c>
      <c r="G104">
        <f>COUNTIF(G$29:G$52, "&lt;0")+COUNTIF(M$29:M$52, "&lt;0")+COUNTIF(S$29:S$52, "&lt;0")</f>
        <v>33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1.9251388888888887</v>
      </c>
      <c r="D107" cm="1">
        <f t="array" ref="D107">AVERAGE(ABS(D$29:D$52),ABS(J$29:J$52),ABS(P$29:P$52))</f>
        <v>79.147222222222226</v>
      </c>
      <c r="F107" cm="1">
        <f t="array" ref="F107">AVERAGE(ABS(F$29:F$52),ABS(L$29:L$52),ABS(R$29:R$52))</f>
        <v>7.5833333333333322E-2</v>
      </c>
      <c r="G107" cm="1">
        <f t="array" ref="G107">AVERAGE(ABS(G$29:G$52),ABS(M$29:M$52),ABS(S$29:S$52))</f>
        <v>65.106944444444451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0.42499999999999999</v>
      </c>
      <c r="D108" cm="1">
        <f t="array" ref="D108">MEDIAN(ABS(D$29:D$52),ABS(J$29:J$52),ABS(P$29:P$52))</f>
        <v>25.05</v>
      </c>
      <c r="F108" cm="1">
        <f t="array" ref="F108">MEDIAN(ABS(F$29:F$52),ABS(L$29:L$52),ABS(R$29:R$52))</f>
        <v>1.7000000000000001E-2</v>
      </c>
      <c r="G108" cm="1">
        <f t="array" ref="G108">MEDIAN(ABS(G$29:G$52),ABS(M$29:M$52),ABS(S$29:S$52))</f>
        <v>15.649999999999999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3.4389402204157475</v>
      </c>
      <c r="D109" cm="1">
        <f t="array" ref="D109">STDEV(ABS(D$29:D$52),ABS(J$29:J$52),ABS(P$29:P$52))</f>
        <v>147.52016235767377</v>
      </c>
      <c r="F109" cm="1">
        <f t="array" ref="F109">STDEV(ABS(F$29:F$52),ABS(L$29:L$52),ABS(R$29:R$52))</f>
        <v>0.12339961421630294</v>
      </c>
      <c r="G109" cm="1">
        <f t="array" ref="G109">STDEV(ABS(G$29:G$52),ABS(M$29:M$52),ABS(S$29:S$52))</f>
        <v>116.76846275753324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A9C8-A875-4D54-BC1E-CDAFDC36724A}">
  <dimension ref="A1:T109"/>
  <sheetViews>
    <sheetView workbookViewId="0">
      <selection activeCell="S5" sqref="S5:S52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 s="31">
        <v>-0.31</v>
      </c>
      <c r="D5">
        <v>-18.5</v>
      </c>
      <c r="E5" t="str">
        <f>IF(ABS(D5)&gt;50,"?","-")</f>
        <v>-</v>
      </c>
      <c r="F5">
        <v>0.01</v>
      </c>
      <c r="G5">
        <v>7.8</v>
      </c>
      <c r="H5" t="str">
        <f>IF(ABS(G5)&gt;50,"?","-")</f>
        <v>-</v>
      </c>
      <c r="I5" s="1">
        <v>-0.2</v>
      </c>
      <c r="J5">
        <v>-13.1</v>
      </c>
      <c r="K5" t="str">
        <f>IF(ABS(J5)&gt;50,"?","-")</f>
        <v>-</v>
      </c>
      <c r="L5">
        <v>2.1999999999999999E-2</v>
      </c>
      <c r="M5">
        <v>20.6</v>
      </c>
      <c r="N5" t="str">
        <f>IF(ABS(M5)&gt;50,"?","-")</f>
        <v>-</v>
      </c>
      <c r="O5" s="1">
        <v>-0.28000000000000003</v>
      </c>
      <c r="P5">
        <v>-17.3</v>
      </c>
      <c r="Q5" t="str">
        <f>IF(ABS(P5)&gt;50,"?","-")</f>
        <v>-</v>
      </c>
      <c r="R5">
        <v>1.9E-2</v>
      </c>
      <c r="S5">
        <v>17.399999999999999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 s="31">
        <v>-0.21</v>
      </c>
      <c r="D6">
        <v>-15.1</v>
      </c>
      <c r="E6" t="str">
        <f t="shared" ref="E6:E52" si="0">IF(ABS(D6)&gt;50,"?","-")</f>
        <v>-</v>
      </c>
      <c r="F6">
        <v>2.3E-2</v>
      </c>
      <c r="G6">
        <v>30.3</v>
      </c>
      <c r="H6" t="str">
        <f t="shared" ref="H6:H52" si="1">IF(ABS(G6)&gt;50,"?","-")</f>
        <v>-</v>
      </c>
      <c r="I6" s="1">
        <v>-0.2</v>
      </c>
      <c r="J6">
        <v>-15.5</v>
      </c>
      <c r="K6" t="str">
        <f t="shared" ref="K6:K52" si="2">IF(ABS(J6)&gt;50,"?","-")</f>
        <v>-</v>
      </c>
      <c r="L6">
        <v>3.5999999999999997E-2</v>
      </c>
      <c r="M6">
        <v>54.5</v>
      </c>
      <c r="N6" t="str">
        <f t="shared" ref="N6:N52" si="3">IF(ABS(M6)&gt;50,"?","-")</f>
        <v>?</v>
      </c>
      <c r="O6" s="1">
        <v>-0.31</v>
      </c>
      <c r="P6">
        <v>-22.5</v>
      </c>
      <c r="Q6" t="str">
        <f t="shared" ref="Q6:Q52" si="4">IF(ABS(P6)&gt;50,"?","-")</f>
        <v>-</v>
      </c>
      <c r="R6">
        <v>1.7000000000000001E-2</v>
      </c>
      <c r="S6">
        <v>21.3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 s="31">
        <v>1.1599999999999999</v>
      </c>
      <c r="D7">
        <v>34.700000000000003</v>
      </c>
      <c r="E7" t="str">
        <f t="shared" si="0"/>
        <v>-</v>
      </c>
      <c r="F7">
        <v>6.4000000000000001E-2</v>
      </c>
      <c r="G7">
        <v>28.8</v>
      </c>
      <c r="H7" t="str">
        <f t="shared" si="1"/>
        <v>-</v>
      </c>
      <c r="I7" s="1">
        <v>1.86</v>
      </c>
      <c r="J7">
        <v>71</v>
      </c>
      <c r="K7" t="str">
        <f t="shared" si="2"/>
        <v>?</v>
      </c>
      <c r="L7">
        <v>0.13100000000000001</v>
      </c>
      <c r="M7">
        <v>87.3</v>
      </c>
      <c r="N7" t="str">
        <f t="shared" si="3"/>
        <v>?</v>
      </c>
      <c r="O7" s="1">
        <v>1.56</v>
      </c>
      <c r="P7">
        <v>54.4</v>
      </c>
      <c r="Q7" t="str">
        <f t="shared" si="4"/>
        <v>?</v>
      </c>
      <c r="R7">
        <v>0.13900000000000001</v>
      </c>
      <c r="S7">
        <v>99.3</v>
      </c>
      <c r="T7" s="2" t="str">
        <f t="shared" si="5"/>
        <v>?</v>
      </c>
    </row>
    <row r="8" spans="1:20">
      <c r="A8" s="11" t="s">
        <v>13</v>
      </c>
      <c r="B8" s="12" t="s">
        <v>10</v>
      </c>
      <c r="C8" s="31">
        <v>-0.41</v>
      </c>
      <c r="D8">
        <v>-31.5</v>
      </c>
      <c r="E8" t="str">
        <f t="shared" si="0"/>
        <v>-</v>
      </c>
      <c r="F8">
        <v>-7.6999999999999999E-2</v>
      </c>
      <c r="G8">
        <v>-49.7</v>
      </c>
      <c r="H8" t="str">
        <f t="shared" si="1"/>
        <v>-</v>
      </c>
      <c r="I8" s="1">
        <v>-0.68</v>
      </c>
      <c r="J8">
        <v>-43</v>
      </c>
      <c r="K8" t="str">
        <f t="shared" si="2"/>
        <v>-</v>
      </c>
      <c r="L8">
        <v>-7.2999999999999995E-2</v>
      </c>
      <c r="M8">
        <v>-47.4</v>
      </c>
      <c r="N8" t="str">
        <f t="shared" si="3"/>
        <v>-</v>
      </c>
      <c r="O8" s="1">
        <v>-0.56999999999999995</v>
      </c>
      <c r="P8">
        <v>-38.799999999999997</v>
      </c>
      <c r="Q8" t="str">
        <f t="shared" si="4"/>
        <v>-</v>
      </c>
      <c r="R8">
        <v>-4.0000000000000001E-3</v>
      </c>
      <c r="S8">
        <v>-4.5</v>
      </c>
      <c r="T8" s="2" t="str">
        <f t="shared" si="5"/>
        <v>-</v>
      </c>
    </row>
    <row r="9" spans="1:20">
      <c r="A9" s="11" t="s">
        <v>9</v>
      </c>
      <c r="B9" s="12" t="s">
        <v>14</v>
      </c>
      <c r="C9" s="31">
        <v>0</v>
      </c>
      <c r="D9">
        <v>0</v>
      </c>
      <c r="E9" t="str">
        <f t="shared" si="0"/>
        <v>-</v>
      </c>
      <c r="F9">
        <v>2.3E-2</v>
      </c>
      <c r="G9">
        <v>20.399999999999999</v>
      </c>
      <c r="H9" t="str">
        <f t="shared" si="1"/>
        <v>-</v>
      </c>
      <c r="I9" s="1">
        <v>-0.03</v>
      </c>
      <c r="J9">
        <v>-2.4</v>
      </c>
      <c r="K9" t="str">
        <f t="shared" si="2"/>
        <v>-</v>
      </c>
      <c r="L9">
        <v>1.0999999999999999E-2</v>
      </c>
      <c r="M9">
        <v>10.1</v>
      </c>
      <c r="N9" t="str">
        <f t="shared" si="3"/>
        <v>-</v>
      </c>
      <c r="O9" s="1">
        <v>0.18</v>
      </c>
      <c r="P9">
        <v>16.100000000000001</v>
      </c>
      <c r="Q9" t="str">
        <f t="shared" si="4"/>
        <v>-</v>
      </c>
      <c r="R9">
        <v>2.4E-2</v>
      </c>
      <c r="S9">
        <v>25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 s="31">
        <v>0.11</v>
      </c>
      <c r="D10">
        <v>10.4</v>
      </c>
      <c r="E10" t="str">
        <f t="shared" si="0"/>
        <v>-</v>
      </c>
      <c r="F10">
        <v>2.9000000000000001E-2</v>
      </c>
      <c r="G10">
        <v>33</v>
      </c>
      <c r="H10" t="str">
        <f t="shared" si="1"/>
        <v>-</v>
      </c>
      <c r="I10" s="1">
        <v>0.11</v>
      </c>
      <c r="J10">
        <v>11.2</v>
      </c>
      <c r="K10" t="str">
        <f t="shared" si="2"/>
        <v>-</v>
      </c>
      <c r="L10">
        <v>4.4999999999999998E-2</v>
      </c>
      <c r="M10">
        <v>71.400000000000006</v>
      </c>
      <c r="N10" t="str">
        <f t="shared" si="3"/>
        <v>?</v>
      </c>
      <c r="O10" s="1">
        <v>0.1</v>
      </c>
      <c r="P10">
        <v>9.9</v>
      </c>
      <c r="Q10" t="str">
        <f t="shared" si="4"/>
        <v>-</v>
      </c>
      <c r="R10">
        <v>3.2000000000000001E-2</v>
      </c>
      <c r="S10">
        <v>41.6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 s="31">
        <v>0.68</v>
      </c>
      <c r="D11">
        <v>19.399999999999999</v>
      </c>
      <c r="E11" t="str">
        <f t="shared" si="0"/>
        <v>-</v>
      </c>
      <c r="F11">
        <v>0.04</v>
      </c>
      <c r="G11">
        <v>17.8</v>
      </c>
      <c r="H11" t="str">
        <f t="shared" si="1"/>
        <v>-</v>
      </c>
      <c r="I11" s="1">
        <v>1.04</v>
      </c>
      <c r="J11">
        <v>33.1</v>
      </c>
      <c r="K11" t="str">
        <f t="shared" si="2"/>
        <v>-</v>
      </c>
      <c r="L11">
        <v>9.4E-2</v>
      </c>
      <c r="M11">
        <v>58.8</v>
      </c>
      <c r="N11" t="str">
        <f t="shared" si="3"/>
        <v>?</v>
      </c>
      <c r="O11" s="1">
        <v>0.84</v>
      </c>
      <c r="P11">
        <v>27.2</v>
      </c>
      <c r="Q11" t="str">
        <f t="shared" si="4"/>
        <v>-</v>
      </c>
      <c r="R11">
        <v>8.5999999999999993E-2</v>
      </c>
      <c r="S11">
        <v>53.8</v>
      </c>
      <c r="T11" s="2" t="str">
        <f t="shared" si="5"/>
        <v>?</v>
      </c>
    </row>
    <row r="12" spans="1:20">
      <c r="A12" s="11" t="s">
        <v>13</v>
      </c>
      <c r="B12" s="12" t="s">
        <v>14</v>
      </c>
      <c r="C12" s="31">
        <v>0.28999999999999998</v>
      </c>
      <c r="D12">
        <v>31.2</v>
      </c>
      <c r="E12" t="str">
        <f t="shared" si="0"/>
        <v>-</v>
      </c>
      <c r="F12">
        <v>2.1999999999999999E-2</v>
      </c>
      <c r="G12">
        <v>24.7</v>
      </c>
      <c r="H12" t="str">
        <f t="shared" si="1"/>
        <v>-</v>
      </c>
      <c r="I12" s="1">
        <v>0.12</v>
      </c>
      <c r="J12">
        <v>11.2</v>
      </c>
      <c r="K12" t="str">
        <f t="shared" si="2"/>
        <v>-</v>
      </c>
      <c r="L12">
        <v>7.0000000000000001E-3</v>
      </c>
      <c r="M12">
        <v>5.4</v>
      </c>
      <c r="N12" t="str">
        <f t="shared" si="3"/>
        <v>-</v>
      </c>
      <c r="O12" s="1">
        <v>0.03</v>
      </c>
      <c r="P12">
        <v>3.4</v>
      </c>
      <c r="Q12" t="str">
        <f t="shared" si="4"/>
        <v>-</v>
      </c>
      <c r="R12">
        <v>8.9999999999999993E-3</v>
      </c>
      <c r="S12">
        <v>10.199999999999999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 s="31">
        <v>0.2</v>
      </c>
      <c r="D13">
        <v>17.2</v>
      </c>
      <c r="E13" t="str">
        <f t="shared" si="0"/>
        <v>-</v>
      </c>
      <c r="F13">
        <v>0.02</v>
      </c>
      <c r="G13">
        <v>17.2</v>
      </c>
      <c r="H13" t="str">
        <f t="shared" si="1"/>
        <v>-</v>
      </c>
      <c r="I13" s="1">
        <v>0.13</v>
      </c>
      <c r="J13">
        <v>11.8</v>
      </c>
      <c r="K13" t="str">
        <f t="shared" si="2"/>
        <v>-</v>
      </c>
      <c r="L13">
        <v>1.2999999999999999E-2</v>
      </c>
      <c r="M13">
        <v>12.9</v>
      </c>
      <c r="N13" t="str">
        <f t="shared" si="3"/>
        <v>-</v>
      </c>
      <c r="O13" s="1">
        <v>0.13</v>
      </c>
      <c r="P13">
        <v>11.7</v>
      </c>
      <c r="Q13" t="str">
        <f t="shared" si="4"/>
        <v>-</v>
      </c>
      <c r="R13">
        <v>2.3E-2</v>
      </c>
      <c r="S13">
        <v>23.5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 s="31">
        <v>0.05</v>
      </c>
      <c r="D14">
        <v>4.8</v>
      </c>
      <c r="E14" t="str">
        <f t="shared" si="0"/>
        <v>-</v>
      </c>
      <c r="F14">
        <v>2.1000000000000001E-2</v>
      </c>
      <c r="G14">
        <v>26.9</v>
      </c>
      <c r="H14" t="str">
        <f t="shared" si="1"/>
        <v>-</v>
      </c>
      <c r="I14" s="1">
        <v>0.26</v>
      </c>
      <c r="J14">
        <v>28.3</v>
      </c>
      <c r="K14" t="str">
        <f t="shared" si="2"/>
        <v>-</v>
      </c>
      <c r="L14">
        <v>3.4000000000000002E-2</v>
      </c>
      <c r="M14">
        <v>44.7</v>
      </c>
      <c r="N14" t="str">
        <f t="shared" si="3"/>
        <v>-</v>
      </c>
      <c r="O14" s="1">
        <v>0.14000000000000001</v>
      </c>
      <c r="P14">
        <v>14.3</v>
      </c>
      <c r="Q14" t="str">
        <f t="shared" si="4"/>
        <v>-</v>
      </c>
      <c r="R14">
        <v>2.1999999999999999E-2</v>
      </c>
      <c r="S14">
        <v>27.5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 s="31">
        <v>0.59</v>
      </c>
      <c r="D15">
        <v>17.2</v>
      </c>
      <c r="E15" t="str">
        <f t="shared" si="0"/>
        <v>-</v>
      </c>
      <c r="F15">
        <v>0.03</v>
      </c>
      <c r="G15">
        <v>13.6</v>
      </c>
      <c r="H15" t="str">
        <f t="shared" si="1"/>
        <v>-</v>
      </c>
      <c r="I15" s="1">
        <v>0.77</v>
      </c>
      <c r="J15">
        <v>25.4</v>
      </c>
      <c r="K15" t="str">
        <f t="shared" si="2"/>
        <v>-</v>
      </c>
      <c r="L15">
        <v>6.6000000000000003E-2</v>
      </c>
      <c r="M15">
        <v>41</v>
      </c>
      <c r="N15" t="str">
        <f t="shared" si="3"/>
        <v>-</v>
      </c>
      <c r="O15" s="1">
        <v>1.02</v>
      </c>
      <c r="P15">
        <v>36.299999999999997</v>
      </c>
      <c r="Q15" t="str">
        <f t="shared" si="4"/>
        <v>-</v>
      </c>
      <c r="R15">
        <v>7.2999999999999995E-2</v>
      </c>
      <c r="S15">
        <v>47.4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 s="31">
        <v>-0.3</v>
      </c>
      <c r="D16">
        <v>-27.3</v>
      </c>
      <c r="E16" t="str">
        <f t="shared" si="0"/>
        <v>-</v>
      </c>
      <c r="F16">
        <v>-6.2E-2</v>
      </c>
      <c r="G16">
        <v>-55.4</v>
      </c>
      <c r="H16" t="str">
        <f t="shared" si="1"/>
        <v>?</v>
      </c>
      <c r="I16" s="1">
        <v>-0.3</v>
      </c>
      <c r="J16">
        <v>-28</v>
      </c>
      <c r="K16" t="str">
        <f t="shared" si="2"/>
        <v>-</v>
      </c>
      <c r="L16">
        <v>-5.0999999999999997E-2</v>
      </c>
      <c r="M16">
        <v>-50</v>
      </c>
      <c r="N16" t="str">
        <f t="shared" si="3"/>
        <v>-</v>
      </c>
      <c r="O16" s="1">
        <v>-0.26</v>
      </c>
      <c r="P16">
        <v>-25</v>
      </c>
      <c r="Q16" t="str">
        <f t="shared" si="4"/>
        <v>-</v>
      </c>
      <c r="R16">
        <v>-9.0999999999999998E-2</v>
      </c>
      <c r="S16">
        <v>-64.099999999999994</v>
      </c>
      <c r="T16" s="2" t="str">
        <f t="shared" si="5"/>
        <v>?</v>
      </c>
    </row>
    <row r="17" spans="1:20">
      <c r="A17" s="11" t="s">
        <v>9</v>
      </c>
      <c r="B17" s="12" t="s">
        <v>16</v>
      </c>
      <c r="C17" s="31">
        <v>0.18</v>
      </c>
      <c r="D17">
        <v>15</v>
      </c>
      <c r="E17" t="str">
        <f t="shared" si="0"/>
        <v>-</v>
      </c>
      <c r="F17">
        <v>2.9000000000000001E-2</v>
      </c>
      <c r="G17">
        <v>27.9</v>
      </c>
      <c r="H17" t="str">
        <f t="shared" si="1"/>
        <v>-</v>
      </c>
      <c r="I17" s="1">
        <v>0.08</v>
      </c>
      <c r="J17">
        <v>7.5</v>
      </c>
      <c r="K17" t="str">
        <f t="shared" si="2"/>
        <v>-</v>
      </c>
      <c r="L17">
        <v>1.7999999999999999E-2</v>
      </c>
      <c r="M17">
        <v>20.7</v>
      </c>
      <c r="N17" t="str">
        <f t="shared" si="3"/>
        <v>-</v>
      </c>
      <c r="O17" s="1">
        <v>7.0000000000000007E-2</v>
      </c>
      <c r="P17">
        <v>6.6</v>
      </c>
      <c r="Q17" t="str">
        <f t="shared" si="4"/>
        <v>-</v>
      </c>
      <c r="R17">
        <v>1.2E-2</v>
      </c>
      <c r="S17">
        <v>13.2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 s="31">
        <v>0.19</v>
      </c>
      <c r="D18">
        <v>19.600000000000001</v>
      </c>
      <c r="E18" t="str">
        <f t="shared" si="0"/>
        <v>-</v>
      </c>
      <c r="F18">
        <v>1.4999999999999999E-2</v>
      </c>
      <c r="G18">
        <v>16.100000000000001</v>
      </c>
      <c r="H18" t="str">
        <f t="shared" si="1"/>
        <v>-</v>
      </c>
      <c r="I18" s="1">
        <v>0.19</v>
      </c>
      <c r="J18">
        <v>21.6</v>
      </c>
      <c r="K18" t="str">
        <f t="shared" si="2"/>
        <v>-</v>
      </c>
      <c r="L18">
        <v>0.02</v>
      </c>
      <c r="M18">
        <v>23.5</v>
      </c>
      <c r="N18" t="str">
        <f t="shared" si="3"/>
        <v>-</v>
      </c>
      <c r="O18" s="1">
        <v>0.13</v>
      </c>
      <c r="P18">
        <v>14.1</v>
      </c>
      <c r="Q18" t="str">
        <f t="shared" si="4"/>
        <v>-</v>
      </c>
      <c r="R18">
        <v>2.4E-2</v>
      </c>
      <c r="S18">
        <v>30.4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 s="31">
        <v>-0.32</v>
      </c>
      <c r="D19">
        <v>-9</v>
      </c>
      <c r="E19" t="str">
        <f t="shared" si="0"/>
        <v>-</v>
      </c>
      <c r="F19">
        <v>-1.7000000000000001E-2</v>
      </c>
      <c r="G19">
        <v>-7.8</v>
      </c>
      <c r="H19" t="str">
        <f t="shared" si="1"/>
        <v>-</v>
      </c>
      <c r="I19" s="1">
        <v>0.62</v>
      </c>
      <c r="J19">
        <v>24</v>
      </c>
      <c r="K19" t="str">
        <f t="shared" si="2"/>
        <v>-</v>
      </c>
      <c r="L19">
        <v>3.7999999999999999E-2</v>
      </c>
      <c r="M19">
        <v>25.3</v>
      </c>
      <c r="N19" t="str">
        <f t="shared" si="3"/>
        <v>-</v>
      </c>
      <c r="O19" s="1">
        <v>0.39</v>
      </c>
      <c r="P19">
        <v>13.8</v>
      </c>
      <c r="Q19" t="str">
        <f t="shared" si="4"/>
        <v>-</v>
      </c>
      <c r="R19">
        <v>3.3000000000000002E-2</v>
      </c>
      <c r="S19">
        <v>21.3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 s="31">
        <v>0.38</v>
      </c>
      <c r="D20">
        <v>65.5</v>
      </c>
      <c r="E20" t="str">
        <f t="shared" si="0"/>
        <v>?</v>
      </c>
      <c r="F20">
        <v>6.0000000000000001E-3</v>
      </c>
      <c r="G20">
        <v>8.5</v>
      </c>
      <c r="H20" t="str">
        <f t="shared" si="1"/>
        <v>-</v>
      </c>
      <c r="I20" s="1">
        <v>-0.11</v>
      </c>
      <c r="J20">
        <v>-12.6</v>
      </c>
      <c r="K20" t="str">
        <f t="shared" si="2"/>
        <v>-</v>
      </c>
      <c r="L20">
        <v>-7.1999999999999995E-2</v>
      </c>
      <c r="M20">
        <v>-63.2</v>
      </c>
      <c r="N20" t="str">
        <f t="shared" si="3"/>
        <v>?</v>
      </c>
      <c r="O20" s="1">
        <v>0.45</v>
      </c>
      <c r="P20">
        <v>81.8</v>
      </c>
      <c r="Q20" t="str">
        <f t="shared" si="4"/>
        <v>?</v>
      </c>
      <c r="R20">
        <v>-3.0000000000000001E-3</v>
      </c>
      <c r="S20">
        <v>-5.4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 s="31">
        <v>0.08</v>
      </c>
      <c r="D21">
        <v>6.4</v>
      </c>
      <c r="E21" t="str">
        <f t="shared" si="0"/>
        <v>-</v>
      </c>
      <c r="F21">
        <v>1.7000000000000001E-2</v>
      </c>
      <c r="G21">
        <v>16.2</v>
      </c>
      <c r="H21" t="str">
        <f t="shared" si="1"/>
        <v>-</v>
      </c>
      <c r="I21" s="1">
        <v>0.08</v>
      </c>
      <c r="J21">
        <v>7.3</v>
      </c>
      <c r="K21" t="str">
        <f t="shared" si="2"/>
        <v>-</v>
      </c>
      <c r="L21">
        <v>1.2E-2</v>
      </c>
      <c r="M21">
        <v>13.2</v>
      </c>
      <c r="N21" t="str">
        <f t="shared" si="3"/>
        <v>-</v>
      </c>
      <c r="O21" s="1">
        <v>0.01</v>
      </c>
      <c r="P21">
        <v>0.9</v>
      </c>
      <c r="Q21" t="str">
        <f t="shared" si="4"/>
        <v>-</v>
      </c>
      <c r="R21">
        <v>1.4999999999999999E-2</v>
      </c>
      <c r="S21">
        <v>16.5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 s="31">
        <v>0.21</v>
      </c>
      <c r="D22">
        <v>21.2</v>
      </c>
      <c r="E22" t="str">
        <f t="shared" si="0"/>
        <v>-</v>
      </c>
      <c r="F22">
        <v>2.7E-2</v>
      </c>
      <c r="G22">
        <v>34.200000000000003</v>
      </c>
      <c r="H22" t="str">
        <f t="shared" si="1"/>
        <v>-</v>
      </c>
      <c r="I22" s="1">
        <v>0.14000000000000001</v>
      </c>
      <c r="J22">
        <v>15.4</v>
      </c>
      <c r="K22" t="str">
        <f t="shared" si="2"/>
        <v>-</v>
      </c>
      <c r="L22">
        <v>8.0000000000000002E-3</v>
      </c>
      <c r="M22">
        <v>10</v>
      </c>
      <c r="N22" t="str">
        <f t="shared" si="3"/>
        <v>-</v>
      </c>
      <c r="O22" s="1">
        <v>7.0000000000000007E-2</v>
      </c>
      <c r="P22">
        <v>7.7</v>
      </c>
      <c r="Q22" t="str">
        <f t="shared" si="4"/>
        <v>-</v>
      </c>
      <c r="R22">
        <v>1.2999999999999999E-2</v>
      </c>
      <c r="S22">
        <v>16.2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 s="31">
        <v>0.21</v>
      </c>
      <c r="D23">
        <v>5.9</v>
      </c>
      <c r="E23" t="str">
        <f t="shared" si="0"/>
        <v>-</v>
      </c>
      <c r="F23">
        <v>-7.0000000000000001E-3</v>
      </c>
      <c r="G23">
        <v>-3.2</v>
      </c>
      <c r="H23" t="str">
        <f t="shared" si="1"/>
        <v>-</v>
      </c>
      <c r="I23" s="1">
        <v>0.28999999999999998</v>
      </c>
      <c r="J23">
        <v>9.1</v>
      </c>
      <c r="K23" t="str">
        <f t="shared" si="2"/>
        <v>-</v>
      </c>
      <c r="L23">
        <v>2.3E-2</v>
      </c>
      <c r="M23">
        <v>13.9</v>
      </c>
      <c r="N23" t="str">
        <f t="shared" si="3"/>
        <v>-</v>
      </c>
      <c r="O23" s="1">
        <v>0.43</v>
      </c>
      <c r="P23">
        <v>14</v>
      </c>
      <c r="Q23" t="str">
        <f t="shared" si="4"/>
        <v>-</v>
      </c>
      <c r="R23">
        <v>2.3E-2</v>
      </c>
      <c r="S23">
        <v>13.9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 s="31">
        <v>-0.02</v>
      </c>
      <c r="D24">
        <v>-2.4</v>
      </c>
      <c r="E24" t="str">
        <f t="shared" si="0"/>
        <v>-</v>
      </c>
      <c r="F24">
        <v>-2.3E-2</v>
      </c>
      <c r="G24">
        <v>-26.1</v>
      </c>
      <c r="H24" t="str">
        <f t="shared" si="1"/>
        <v>-</v>
      </c>
      <c r="I24" s="1">
        <v>-0.1</v>
      </c>
      <c r="J24">
        <v>-12.5</v>
      </c>
      <c r="K24" t="str">
        <f t="shared" si="2"/>
        <v>-</v>
      </c>
      <c r="L24">
        <v>-3.5999999999999997E-2</v>
      </c>
      <c r="M24">
        <v>-44.4</v>
      </c>
      <c r="N24" t="str">
        <f t="shared" si="3"/>
        <v>-</v>
      </c>
      <c r="O24" s="1">
        <v>-0.04</v>
      </c>
      <c r="P24">
        <v>-4.7</v>
      </c>
      <c r="Q24" t="str">
        <f t="shared" si="4"/>
        <v>-</v>
      </c>
      <c r="R24">
        <v>-2.5999999999999999E-2</v>
      </c>
      <c r="S24">
        <v>-30.2</v>
      </c>
      <c r="T24" s="2" t="str">
        <f t="shared" si="5"/>
        <v>-</v>
      </c>
    </row>
    <row r="25" spans="1:20">
      <c r="A25" s="11" t="s">
        <v>9</v>
      </c>
      <c r="B25" s="12" t="s">
        <v>18</v>
      </c>
      <c r="C25" s="31">
        <v>-0.14000000000000001</v>
      </c>
      <c r="D25">
        <v>-10.199999999999999</v>
      </c>
      <c r="E25" t="str">
        <f t="shared" si="0"/>
        <v>-</v>
      </c>
      <c r="F25">
        <v>-8.9999999999999993E-3</v>
      </c>
      <c r="G25">
        <v>-7.1</v>
      </c>
      <c r="H25" t="str">
        <f t="shared" si="1"/>
        <v>-</v>
      </c>
      <c r="I25" s="1">
        <v>0.03</v>
      </c>
      <c r="J25">
        <v>2.4</v>
      </c>
      <c r="K25" t="str">
        <f t="shared" si="2"/>
        <v>-</v>
      </c>
      <c r="L25">
        <v>1.2999999999999999E-2</v>
      </c>
      <c r="M25">
        <v>12</v>
      </c>
      <c r="N25" t="str">
        <f t="shared" si="3"/>
        <v>-</v>
      </c>
      <c r="O25" s="1">
        <v>0.13</v>
      </c>
      <c r="P25">
        <v>11.9</v>
      </c>
      <c r="Q25" t="str">
        <f t="shared" si="4"/>
        <v>-</v>
      </c>
      <c r="R25">
        <v>3.2000000000000001E-2</v>
      </c>
      <c r="S25">
        <v>35.200000000000003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 s="31">
        <v>0.13</v>
      </c>
      <c r="D26">
        <v>9.8000000000000007</v>
      </c>
      <c r="E26" t="str">
        <f t="shared" si="0"/>
        <v>-</v>
      </c>
      <c r="F26">
        <v>-6.0000000000000001E-3</v>
      </c>
      <c r="G26">
        <v>-4.8</v>
      </c>
      <c r="H26" t="str">
        <f t="shared" si="1"/>
        <v>-</v>
      </c>
      <c r="I26" s="1">
        <v>-0.37</v>
      </c>
      <c r="J26">
        <v>-29.1</v>
      </c>
      <c r="K26" t="str">
        <f t="shared" si="2"/>
        <v>-</v>
      </c>
      <c r="L26">
        <v>-2.9000000000000001E-2</v>
      </c>
      <c r="M26">
        <v>-25.7</v>
      </c>
      <c r="N26" t="str">
        <f t="shared" si="3"/>
        <v>-</v>
      </c>
      <c r="O26" s="1">
        <v>-0.12</v>
      </c>
      <c r="P26">
        <v>-8.8000000000000007</v>
      </c>
      <c r="Q26" t="str">
        <f t="shared" si="4"/>
        <v>-</v>
      </c>
      <c r="R26">
        <v>-5.0000000000000001E-3</v>
      </c>
      <c r="S26">
        <v>-4.0999999999999996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 s="31">
        <v>-1.33</v>
      </c>
      <c r="D27">
        <v>-32.9</v>
      </c>
      <c r="E27" t="str">
        <f t="shared" si="0"/>
        <v>-</v>
      </c>
      <c r="F27">
        <v>-3.3000000000000002E-2</v>
      </c>
      <c r="G27">
        <v>-15</v>
      </c>
      <c r="H27" t="str">
        <f t="shared" si="1"/>
        <v>-</v>
      </c>
      <c r="I27" s="1">
        <v>-0.27</v>
      </c>
      <c r="J27">
        <v>-9.9</v>
      </c>
      <c r="K27" t="str">
        <f t="shared" si="2"/>
        <v>-</v>
      </c>
      <c r="L27">
        <v>1.6E-2</v>
      </c>
      <c r="M27">
        <v>11</v>
      </c>
      <c r="N27" t="str">
        <f t="shared" si="3"/>
        <v>-</v>
      </c>
      <c r="O27" s="1">
        <v>-0.77</v>
      </c>
      <c r="P27">
        <v>-25.4</v>
      </c>
      <c r="Q27" t="str">
        <f t="shared" si="4"/>
        <v>-</v>
      </c>
      <c r="R27">
        <v>0</v>
      </c>
      <c r="S27">
        <v>0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 s="31">
        <v>0.03</v>
      </c>
      <c r="D28">
        <v>3.5</v>
      </c>
      <c r="E28" t="str">
        <f t="shared" si="0"/>
        <v>-</v>
      </c>
      <c r="F28">
        <v>-4.0000000000000001E-3</v>
      </c>
      <c r="G28">
        <v>-4.7</v>
      </c>
      <c r="H28" t="str">
        <f t="shared" si="1"/>
        <v>-</v>
      </c>
      <c r="I28" s="1">
        <v>0.23</v>
      </c>
      <c r="J28">
        <v>29.1</v>
      </c>
      <c r="K28" t="str">
        <f t="shared" si="2"/>
        <v>-</v>
      </c>
      <c r="L28">
        <v>3.6999999999999998E-2</v>
      </c>
      <c r="M28">
        <v>46.8</v>
      </c>
      <c r="N28" t="str">
        <f t="shared" si="3"/>
        <v>-</v>
      </c>
      <c r="O28" s="1">
        <v>0.09</v>
      </c>
      <c r="P28">
        <v>10.199999999999999</v>
      </c>
      <c r="Q28" t="str">
        <f t="shared" si="4"/>
        <v>-</v>
      </c>
      <c r="R28">
        <v>4.2999999999999997E-2</v>
      </c>
      <c r="S28">
        <v>62.3</v>
      </c>
      <c r="T28" s="2" t="str">
        <f t="shared" si="5"/>
        <v>?</v>
      </c>
    </row>
    <row r="29" spans="1:20">
      <c r="A29" s="11" t="s">
        <v>9</v>
      </c>
      <c r="B29" s="13">
        <v>0.4</v>
      </c>
      <c r="C29" s="31">
        <v>0.12</v>
      </c>
      <c r="D29">
        <v>11</v>
      </c>
      <c r="E29" t="str">
        <f t="shared" si="0"/>
        <v>-</v>
      </c>
      <c r="F29">
        <v>0.02</v>
      </c>
      <c r="G29">
        <v>19.8</v>
      </c>
      <c r="H29" t="str">
        <f t="shared" si="1"/>
        <v>-</v>
      </c>
      <c r="I29" s="1">
        <v>-0.03</v>
      </c>
      <c r="J29">
        <v>-3</v>
      </c>
      <c r="K29" t="str">
        <f t="shared" si="2"/>
        <v>-</v>
      </c>
      <c r="L29">
        <v>1E-3</v>
      </c>
      <c r="M29">
        <v>1.2</v>
      </c>
      <c r="N29" t="str">
        <f t="shared" si="3"/>
        <v>-</v>
      </c>
      <c r="O29" s="1">
        <v>0.02</v>
      </c>
      <c r="P29">
        <v>2</v>
      </c>
      <c r="Q29" t="str">
        <f t="shared" si="4"/>
        <v>-</v>
      </c>
      <c r="R29">
        <v>-3.0000000000000001E-3</v>
      </c>
      <c r="S29">
        <v>-3.3</v>
      </c>
      <c r="T29" s="2" t="str">
        <f t="shared" si="5"/>
        <v>-</v>
      </c>
    </row>
    <row r="30" spans="1:20">
      <c r="A30" s="11" t="s">
        <v>11</v>
      </c>
      <c r="B30" s="13">
        <v>0.4</v>
      </c>
      <c r="C30" s="31">
        <v>0.25</v>
      </c>
      <c r="D30">
        <v>23.1</v>
      </c>
      <c r="E30" t="str">
        <f t="shared" si="0"/>
        <v>-</v>
      </c>
      <c r="F30">
        <v>2.4E-2</v>
      </c>
      <c r="G30">
        <v>22.2</v>
      </c>
      <c r="H30" t="str">
        <f t="shared" si="1"/>
        <v>-</v>
      </c>
      <c r="I30" s="1">
        <v>-0.17</v>
      </c>
      <c r="J30">
        <v>-16.3</v>
      </c>
      <c r="K30" t="str">
        <f t="shared" si="2"/>
        <v>-</v>
      </c>
      <c r="L30">
        <v>1E-3</v>
      </c>
      <c r="M30">
        <v>1.1000000000000001</v>
      </c>
      <c r="N30" t="str">
        <f t="shared" si="3"/>
        <v>-</v>
      </c>
      <c r="O30" s="1">
        <v>0.11</v>
      </c>
      <c r="P30">
        <v>12.4</v>
      </c>
      <c r="Q30" t="str">
        <f t="shared" si="4"/>
        <v>-</v>
      </c>
      <c r="R30">
        <v>-2E-3</v>
      </c>
      <c r="S30">
        <v>-2.2999999999999998</v>
      </c>
      <c r="T30" s="2" t="str">
        <f t="shared" si="5"/>
        <v>-</v>
      </c>
    </row>
    <row r="31" spans="1:20">
      <c r="A31" s="11" t="s">
        <v>12</v>
      </c>
      <c r="B31" s="13">
        <v>0.4</v>
      </c>
      <c r="C31" s="31">
        <v>-0.68</v>
      </c>
      <c r="D31">
        <v>-24.2</v>
      </c>
      <c r="E31" t="str">
        <f t="shared" si="0"/>
        <v>-</v>
      </c>
      <c r="F31">
        <v>-8.0000000000000002E-3</v>
      </c>
      <c r="G31">
        <v>-4.5</v>
      </c>
      <c r="H31" t="str">
        <f t="shared" si="1"/>
        <v>-</v>
      </c>
      <c r="I31" s="1">
        <v>-0.38</v>
      </c>
      <c r="J31">
        <v>-16.600000000000001</v>
      </c>
      <c r="K31" t="str">
        <f t="shared" si="2"/>
        <v>-</v>
      </c>
      <c r="L31">
        <v>-1.4E-2</v>
      </c>
      <c r="M31">
        <v>-10.4</v>
      </c>
      <c r="N31" t="str">
        <f t="shared" si="3"/>
        <v>-</v>
      </c>
      <c r="O31" s="1">
        <v>-0.05</v>
      </c>
      <c r="P31">
        <v>-2.2999999999999998</v>
      </c>
      <c r="Q31" t="str">
        <f t="shared" si="4"/>
        <v>-</v>
      </c>
      <c r="R31">
        <v>-0.01</v>
      </c>
      <c r="S31">
        <v>-7.5</v>
      </c>
      <c r="T31" s="2" t="str">
        <f t="shared" si="5"/>
        <v>-</v>
      </c>
    </row>
    <row r="32" spans="1:20">
      <c r="A32" s="11" t="s">
        <v>13</v>
      </c>
      <c r="B32" s="13">
        <v>0.4</v>
      </c>
      <c r="C32" s="31">
        <v>0.68</v>
      </c>
      <c r="D32">
        <v>103</v>
      </c>
      <c r="E32" t="str">
        <f t="shared" si="0"/>
        <v>?</v>
      </c>
      <c r="F32">
        <v>6.6000000000000003E-2</v>
      </c>
      <c r="G32">
        <v>101.5</v>
      </c>
      <c r="H32" t="str">
        <f t="shared" si="1"/>
        <v>?</v>
      </c>
      <c r="I32" s="1">
        <v>-0.09</v>
      </c>
      <c r="J32">
        <v>-11.8</v>
      </c>
      <c r="K32" t="str">
        <f t="shared" si="2"/>
        <v>-</v>
      </c>
      <c r="L32">
        <v>-8.0000000000000002E-3</v>
      </c>
      <c r="M32">
        <v>-11</v>
      </c>
      <c r="N32" t="str">
        <f t="shared" si="3"/>
        <v>-</v>
      </c>
      <c r="O32" s="1">
        <v>0.26</v>
      </c>
      <c r="P32">
        <v>39.4</v>
      </c>
      <c r="Q32" t="str">
        <f t="shared" si="4"/>
        <v>-</v>
      </c>
      <c r="R32">
        <v>2.1999999999999999E-2</v>
      </c>
      <c r="S32">
        <v>28.9</v>
      </c>
      <c r="T32" s="2" t="str">
        <f t="shared" si="5"/>
        <v>-</v>
      </c>
    </row>
    <row r="33" spans="1:20">
      <c r="A33" s="11" t="s">
        <v>9</v>
      </c>
      <c r="B33" s="13">
        <v>0.5</v>
      </c>
      <c r="C33" s="31">
        <v>0.17</v>
      </c>
      <c r="D33">
        <v>15.3</v>
      </c>
      <c r="E33" t="str">
        <f t="shared" si="0"/>
        <v>-</v>
      </c>
      <c r="F33">
        <v>1.0999999999999999E-2</v>
      </c>
      <c r="G33">
        <v>10.199999999999999</v>
      </c>
      <c r="H33" t="str">
        <f t="shared" si="1"/>
        <v>-</v>
      </c>
      <c r="I33" s="1">
        <v>0.19</v>
      </c>
      <c r="J33">
        <v>19.399999999999999</v>
      </c>
      <c r="K33" t="str">
        <f t="shared" si="2"/>
        <v>-</v>
      </c>
      <c r="L33">
        <v>2.5999999999999999E-2</v>
      </c>
      <c r="M33">
        <v>30.6</v>
      </c>
      <c r="N33" t="str">
        <f t="shared" si="3"/>
        <v>-</v>
      </c>
      <c r="O33" s="1">
        <v>7.0000000000000007E-2</v>
      </c>
      <c r="P33">
        <v>7.4</v>
      </c>
      <c r="Q33" t="str">
        <f t="shared" si="4"/>
        <v>-</v>
      </c>
      <c r="R33">
        <v>1.2E-2</v>
      </c>
      <c r="S33">
        <v>15.4</v>
      </c>
      <c r="T33" s="2" t="str">
        <f t="shared" si="5"/>
        <v>-</v>
      </c>
    </row>
    <row r="34" spans="1:20">
      <c r="A34" s="11" t="s">
        <v>11</v>
      </c>
      <c r="B34" s="13">
        <v>0.5</v>
      </c>
      <c r="C34" s="31">
        <v>0.45</v>
      </c>
      <c r="D34">
        <v>51.1</v>
      </c>
      <c r="E34" t="str">
        <f t="shared" si="0"/>
        <v>?</v>
      </c>
      <c r="F34">
        <v>3.5999999999999997E-2</v>
      </c>
      <c r="G34">
        <v>41.9</v>
      </c>
      <c r="H34" t="str">
        <f t="shared" si="1"/>
        <v>-</v>
      </c>
      <c r="I34" s="1">
        <v>0.1</v>
      </c>
      <c r="J34">
        <v>11.9</v>
      </c>
      <c r="K34" t="str">
        <f t="shared" si="2"/>
        <v>-</v>
      </c>
      <c r="L34">
        <v>1.7999999999999999E-2</v>
      </c>
      <c r="M34">
        <v>26.9</v>
      </c>
      <c r="N34" t="str">
        <f t="shared" si="3"/>
        <v>-</v>
      </c>
      <c r="O34" s="1">
        <v>0.11</v>
      </c>
      <c r="P34">
        <v>13.6</v>
      </c>
      <c r="Q34" t="str">
        <f t="shared" si="4"/>
        <v>-</v>
      </c>
      <c r="R34">
        <v>2.1999999999999999E-2</v>
      </c>
      <c r="S34">
        <v>33.799999999999997</v>
      </c>
      <c r="T34" s="2" t="str">
        <f t="shared" si="5"/>
        <v>-</v>
      </c>
    </row>
    <row r="35" spans="1:20">
      <c r="A35" s="11" t="s">
        <v>12</v>
      </c>
      <c r="B35" s="13">
        <v>0.5</v>
      </c>
      <c r="C35" s="31">
        <v>-0.59</v>
      </c>
      <c r="D35">
        <v>-18.5</v>
      </c>
      <c r="E35" t="str">
        <f t="shared" si="0"/>
        <v>-</v>
      </c>
      <c r="F35">
        <v>-0.04</v>
      </c>
      <c r="G35">
        <v>-21.9</v>
      </c>
      <c r="H35" t="str">
        <f t="shared" si="1"/>
        <v>-</v>
      </c>
      <c r="I35" s="1">
        <v>0.33</v>
      </c>
      <c r="J35">
        <v>12.8</v>
      </c>
      <c r="K35" t="str">
        <f t="shared" si="2"/>
        <v>-</v>
      </c>
      <c r="L35">
        <v>4.0000000000000001E-3</v>
      </c>
      <c r="M35">
        <v>2.9</v>
      </c>
      <c r="N35" t="str">
        <f t="shared" si="3"/>
        <v>-</v>
      </c>
      <c r="O35" s="1">
        <v>0.85</v>
      </c>
      <c r="P35">
        <v>36.5</v>
      </c>
      <c r="Q35" t="str">
        <f t="shared" si="4"/>
        <v>-</v>
      </c>
      <c r="R35">
        <v>2.5000000000000001E-2</v>
      </c>
      <c r="S35">
        <v>20.3</v>
      </c>
      <c r="T35" s="2" t="str">
        <f t="shared" si="5"/>
        <v>-</v>
      </c>
    </row>
    <row r="36" spans="1:20">
      <c r="A36" s="11" t="s">
        <v>13</v>
      </c>
      <c r="B36" s="13">
        <v>0.5</v>
      </c>
      <c r="C36" s="31">
        <v>0.28999999999999998</v>
      </c>
      <c r="D36">
        <v>39.200000000000003</v>
      </c>
      <c r="E36" t="str">
        <f t="shared" si="0"/>
        <v>-</v>
      </c>
      <c r="F36">
        <v>0.03</v>
      </c>
      <c r="G36">
        <v>34.9</v>
      </c>
      <c r="H36" t="str">
        <f t="shared" si="1"/>
        <v>-</v>
      </c>
      <c r="I36" s="1">
        <v>0.12</v>
      </c>
      <c r="J36">
        <v>16.899999999999999</v>
      </c>
      <c r="K36" t="str">
        <f t="shared" si="2"/>
        <v>-</v>
      </c>
      <c r="L36">
        <v>-3.2000000000000001E-2</v>
      </c>
      <c r="M36">
        <v>-35.200000000000003</v>
      </c>
      <c r="N36" t="str">
        <f t="shared" si="3"/>
        <v>-</v>
      </c>
      <c r="O36" s="1">
        <v>0.42</v>
      </c>
      <c r="P36">
        <v>65.599999999999994</v>
      </c>
      <c r="Q36" t="str">
        <f t="shared" si="4"/>
        <v>?</v>
      </c>
      <c r="R36">
        <v>6.3E-2</v>
      </c>
      <c r="S36">
        <v>90</v>
      </c>
      <c r="T36" s="2" t="str">
        <f t="shared" si="5"/>
        <v>?</v>
      </c>
    </row>
    <row r="37" spans="1:20">
      <c r="A37" s="11" t="s">
        <v>9</v>
      </c>
      <c r="B37" s="13">
        <v>0.6</v>
      </c>
      <c r="C37" s="31">
        <v>0.19</v>
      </c>
      <c r="D37">
        <v>17</v>
      </c>
      <c r="E37" t="str">
        <f t="shared" si="0"/>
        <v>-</v>
      </c>
      <c r="F37">
        <v>8.9999999999999993E-3</v>
      </c>
      <c r="G37">
        <v>8</v>
      </c>
      <c r="H37" t="str">
        <f t="shared" si="1"/>
        <v>-</v>
      </c>
      <c r="I37" s="1">
        <v>0.1</v>
      </c>
      <c r="J37">
        <v>8.6</v>
      </c>
      <c r="K37" t="str">
        <f t="shared" si="2"/>
        <v>-</v>
      </c>
      <c r="L37">
        <v>1.4999999999999999E-2</v>
      </c>
      <c r="M37">
        <v>14.6</v>
      </c>
      <c r="N37" t="str">
        <f t="shared" si="3"/>
        <v>-</v>
      </c>
      <c r="O37" s="1">
        <v>0.14000000000000001</v>
      </c>
      <c r="P37">
        <v>12.7</v>
      </c>
      <c r="Q37" t="str">
        <f t="shared" si="4"/>
        <v>-</v>
      </c>
      <c r="R37">
        <v>1.9E-2</v>
      </c>
      <c r="S37">
        <v>21.3</v>
      </c>
      <c r="T37" s="2" t="str">
        <f t="shared" si="5"/>
        <v>-</v>
      </c>
    </row>
    <row r="38" spans="1:20">
      <c r="A38" s="11" t="s">
        <v>11</v>
      </c>
      <c r="B38" s="13">
        <v>0.6</v>
      </c>
      <c r="C38" s="31">
        <v>0.19</v>
      </c>
      <c r="D38">
        <v>20.7</v>
      </c>
      <c r="E38" t="str">
        <f t="shared" si="0"/>
        <v>-</v>
      </c>
      <c r="F38">
        <v>-8.9999999999999993E-3</v>
      </c>
      <c r="G38">
        <v>-9.1999999999999993</v>
      </c>
      <c r="H38" t="str">
        <f t="shared" si="1"/>
        <v>-</v>
      </c>
      <c r="I38" s="1">
        <v>0.23</v>
      </c>
      <c r="J38">
        <v>26.4</v>
      </c>
      <c r="K38" t="str">
        <f t="shared" si="2"/>
        <v>-</v>
      </c>
      <c r="L38">
        <v>0.01</v>
      </c>
      <c r="M38">
        <v>11.6</v>
      </c>
      <c r="N38" t="str">
        <f t="shared" si="3"/>
        <v>-</v>
      </c>
      <c r="O38" s="1">
        <v>0.22</v>
      </c>
      <c r="P38">
        <v>24.7</v>
      </c>
      <c r="Q38" t="str">
        <f t="shared" si="4"/>
        <v>-</v>
      </c>
      <c r="R38">
        <v>2.4E-2</v>
      </c>
      <c r="S38">
        <v>30</v>
      </c>
      <c r="T38" s="2" t="str">
        <f t="shared" si="5"/>
        <v>-</v>
      </c>
    </row>
    <row r="39" spans="1:20">
      <c r="A39" s="11" t="s">
        <v>12</v>
      </c>
      <c r="B39" s="13">
        <v>0.6</v>
      </c>
      <c r="C39" s="31">
        <v>0.1</v>
      </c>
      <c r="D39">
        <v>3.1</v>
      </c>
      <c r="E39" t="str">
        <f t="shared" si="0"/>
        <v>-</v>
      </c>
      <c r="F39">
        <v>-7.0000000000000001E-3</v>
      </c>
      <c r="G39">
        <v>-3.3</v>
      </c>
      <c r="H39" t="str">
        <f t="shared" si="1"/>
        <v>-</v>
      </c>
      <c r="I39" s="1">
        <v>0.59</v>
      </c>
      <c r="J39">
        <v>23.5</v>
      </c>
      <c r="K39" t="str">
        <f t="shared" si="2"/>
        <v>-</v>
      </c>
      <c r="L39">
        <v>2.9000000000000001E-2</v>
      </c>
      <c r="M39">
        <v>23.6</v>
      </c>
      <c r="N39" t="str">
        <f t="shared" si="3"/>
        <v>-</v>
      </c>
      <c r="O39" s="1">
        <v>0.44</v>
      </c>
      <c r="P39">
        <v>15.7</v>
      </c>
      <c r="Q39" t="str">
        <f t="shared" si="4"/>
        <v>-</v>
      </c>
      <c r="R39">
        <v>2.5000000000000001E-2</v>
      </c>
      <c r="S39">
        <v>17.5</v>
      </c>
      <c r="T39" s="2" t="str">
        <f t="shared" si="5"/>
        <v>-</v>
      </c>
    </row>
    <row r="40" spans="1:20">
      <c r="A40" s="11" t="s">
        <v>13</v>
      </c>
      <c r="B40" s="13">
        <v>0.6</v>
      </c>
      <c r="C40" s="31">
        <v>0.64</v>
      </c>
      <c r="D40">
        <v>101.6</v>
      </c>
      <c r="E40" t="str">
        <f t="shared" si="0"/>
        <v>?</v>
      </c>
      <c r="F40">
        <v>4.8000000000000001E-2</v>
      </c>
      <c r="G40">
        <v>57.1</v>
      </c>
      <c r="H40" t="str">
        <f t="shared" si="1"/>
        <v>?</v>
      </c>
      <c r="I40" s="1">
        <v>0.17</v>
      </c>
      <c r="J40">
        <v>23.6</v>
      </c>
      <c r="K40" t="str">
        <f t="shared" si="2"/>
        <v>-</v>
      </c>
      <c r="L40">
        <v>-2E-3</v>
      </c>
      <c r="M40">
        <v>-2.9</v>
      </c>
      <c r="N40" t="str">
        <f t="shared" si="3"/>
        <v>-</v>
      </c>
      <c r="O40" s="1">
        <v>0.13</v>
      </c>
      <c r="P40">
        <v>15.3</v>
      </c>
      <c r="Q40" t="str">
        <f t="shared" si="4"/>
        <v>-</v>
      </c>
      <c r="R40">
        <v>-3.6999999999999998E-2</v>
      </c>
      <c r="S40">
        <v>-42.5</v>
      </c>
      <c r="T40" s="2" t="str">
        <f t="shared" si="5"/>
        <v>-</v>
      </c>
    </row>
    <row r="41" spans="1:20">
      <c r="A41" s="11" t="s">
        <v>9</v>
      </c>
      <c r="B41" s="13">
        <v>0.7</v>
      </c>
      <c r="C41" s="31">
        <v>0.06</v>
      </c>
      <c r="D41">
        <v>4.5999999999999996</v>
      </c>
      <c r="E41" t="str">
        <f t="shared" si="0"/>
        <v>-</v>
      </c>
      <c r="F41">
        <v>1.9E-2</v>
      </c>
      <c r="G41">
        <v>16.2</v>
      </c>
      <c r="H41" t="str">
        <f t="shared" si="1"/>
        <v>-</v>
      </c>
      <c r="I41" s="1">
        <v>0.13</v>
      </c>
      <c r="J41">
        <v>10.6</v>
      </c>
      <c r="K41" t="str">
        <f t="shared" si="2"/>
        <v>-</v>
      </c>
      <c r="L41">
        <v>1.9E-2</v>
      </c>
      <c r="M41">
        <v>17.899999999999999</v>
      </c>
      <c r="N41" t="str">
        <f t="shared" si="3"/>
        <v>-</v>
      </c>
      <c r="O41" s="1">
        <v>0.22</v>
      </c>
      <c r="P41">
        <v>19.100000000000001</v>
      </c>
      <c r="Q41" t="str">
        <f t="shared" si="4"/>
        <v>-</v>
      </c>
      <c r="R41">
        <v>3.5000000000000003E-2</v>
      </c>
      <c r="S41">
        <v>37.200000000000003</v>
      </c>
      <c r="T41" s="2" t="str">
        <f t="shared" si="5"/>
        <v>-</v>
      </c>
    </row>
    <row r="42" spans="1:20">
      <c r="A42" s="11" t="s">
        <v>11</v>
      </c>
      <c r="B42" s="13">
        <v>0.7</v>
      </c>
      <c r="C42" s="31">
        <v>0.14000000000000001</v>
      </c>
      <c r="D42">
        <v>13.9</v>
      </c>
      <c r="E42" t="str">
        <f t="shared" si="0"/>
        <v>-</v>
      </c>
      <c r="F42">
        <v>2.1000000000000001E-2</v>
      </c>
      <c r="G42">
        <v>25</v>
      </c>
      <c r="H42" t="str">
        <f t="shared" si="1"/>
        <v>-</v>
      </c>
      <c r="I42" s="1">
        <v>0.03</v>
      </c>
      <c r="J42">
        <v>2.9</v>
      </c>
      <c r="K42" t="str">
        <f t="shared" si="2"/>
        <v>-</v>
      </c>
      <c r="L42">
        <v>1.7999999999999999E-2</v>
      </c>
      <c r="M42">
        <v>23.4</v>
      </c>
      <c r="N42" t="str">
        <f t="shared" si="3"/>
        <v>-</v>
      </c>
      <c r="O42" s="1">
        <v>0.14000000000000001</v>
      </c>
      <c r="P42">
        <v>14.4</v>
      </c>
      <c r="Q42" t="str">
        <f t="shared" si="4"/>
        <v>-</v>
      </c>
      <c r="R42">
        <v>4.2999999999999997E-2</v>
      </c>
      <c r="S42">
        <v>68.3</v>
      </c>
      <c r="T42" s="2" t="str">
        <f t="shared" si="5"/>
        <v>?</v>
      </c>
    </row>
    <row r="43" spans="1:20">
      <c r="A43" s="11" t="s">
        <v>12</v>
      </c>
      <c r="B43" s="13">
        <v>0.7</v>
      </c>
      <c r="C43" s="31">
        <v>0.84</v>
      </c>
      <c r="D43">
        <v>25.1</v>
      </c>
      <c r="E43" t="str">
        <f t="shared" si="0"/>
        <v>-</v>
      </c>
      <c r="F43">
        <v>2.7E-2</v>
      </c>
      <c r="G43">
        <v>13</v>
      </c>
      <c r="H43" t="str">
        <f t="shared" si="1"/>
        <v>-</v>
      </c>
      <c r="I43" s="1">
        <v>1.1299999999999999</v>
      </c>
      <c r="J43">
        <v>41.4</v>
      </c>
      <c r="K43" t="str">
        <f t="shared" si="2"/>
        <v>-</v>
      </c>
      <c r="L43">
        <v>6.6000000000000003E-2</v>
      </c>
      <c r="M43">
        <v>42</v>
      </c>
      <c r="N43" t="str">
        <f t="shared" si="3"/>
        <v>-</v>
      </c>
      <c r="O43" s="1">
        <v>0.86</v>
      </c>
      <c r="P43">
        <v>28.6</v>
      </c>
      <c r="Q43" t="str">
        <f t="shared" si="4"/>
        <v>-</v>
      </c>
      <c r="R43">
        <v>7.0000000000000007E-2</v>
      </c>
      <c r="S43">
        <v>45.2</v>
      </c>
      <c r="T43" s="2" t="str">
        <f t="shared" si="5"/>
        <v>-</v>
      </c>
    </row>
    <row r="44" spans="1:20">
      <c r="A44" s="11" t="s">
        <v>13</v>
      </c>
      <c r="B44" s="13">
        <v>0.7</v>
      </c>
      <c r="C44" s="31">
        <v>-0.23</v>
      </c>
      <c r="D44">
        <v>-23.5</v>
      </c>
      <c r="E44" t="str">
        <f t="shared" si="0"/>
        <v>-</v>
      </c>
      <c r="F44">
        <v>-0.04</v>
      </c>
      <c r="G44">
        <v>-36.4</v>
      </c>
      <c r="H44" t="str">
        <f t="shared" si="1"/>
        <v>-</v>
      </c>
      <c r="I44" s="1">
        <v>0.3</v>
      </c>
      <c r="J44">
        <v>33.700000000000003</v>
      </c>
      <c r="K44" t="str">
        <f t="shared" si="2"/>
        <v>-</v>
      </c>
      <c r="L44">
        <v>-4.2999999999999997E-2</v>
      </c>
      <c r="M44">
        <v>-37.4</v>
      </c>
      <c r="N44" t="str">
        <f t="shared" si="3"/>
        <v>-</v>
      </c>
      <c r="O44" s="1">
        <v>0.35</v>
      </c>
      <c r="P44">
        <v>43.2</v>
      </c>
      <c r="Q44" t="str">
        <f t="shared" si="4"/>
        <v>-</v>
      </c>
      <c r="R44">
        <v>-1.7999999999999999E-2</v>
      </c>
      <c r="S44">
        <v>-22.5</v>
      </c>
      <c r="T44" s="2" t="str">
        <f t="shared" si="5"/>
        <v>-</v>
      </c>
    </row>
    <row r="45" spans="1:20">
      <c r="A45" s="11" t="s">
        <v>9</v>
      </c>
      <c r="B45" s="13">
        <v>0.8</v>
      </c>
      <c r="C45" s="31">
        <v>-7.0000000000000007E-2</v>
      </c>
      <c r="D45">
        <v>-4.9000000000000004</v>
      </c>
      <c r="E45" t="str">
        <f t="shared" si="0"/>
        <v>-</v>
      </c>
      <c r="F45">
        <v>3.5999999999999997E-2</v>
      </c>
      <c r="G45">
        <v>30.8</v>
      </c>
      <c r="H45" t="str">
        <f t="shared" si="1"/>
        <v>-</v>
      </c>
      <c r="I45" s="1">
        <v>0.75</v>
      </c>
      <c r="J45">
        <v>56</v>
      </c>
      <c r="K45" t="str">
        <f t="shared" si="2"/>
        <v>?</v>
      </c>
      <c r="L45">
        <v>0.04</v>
      </c>
      <c r="M45">
        <v>34.799999999999997</v>
      </c>
      <c r="N45" t="str">
        <f t="shared" si="3"/>
        <v>-</v>
      </c>
      <c r="O45" s="1">
        <v>1.23</v>
      </c>
      <c r="P45">
        <v>89.8</v>
      </c>
      <c r="Q45" t="str">
        <f t="shared" si="4"/>
        <v>?</v>
      </c>
      <c r="R45">
        <v>6.2E-2</v>
      </c>
      <c r="S45">
        <v>55.4</v>
      </c>
      <c r="T45" s="2" t="str">
        <f t="shared" si="5"/>
        <v>?</v>
      </c>
    </row>
    <row r="46" spans="1:20">
      <c r="A46" s="11" t="s">
        <v>11</v>
      </c>
      <c r="B46" s="13">
        <v>0.8</v>
      </c>
      <c r="C46" s="31">
        <v>0.28999999999999998</v>
      </c>
      <c r="D46">
        <v>25.7</v>
      </c>
      <c r="E46" t="str">
        <f t="shared" si="0"/>
        <v>-</v>
      </c>
      <c r="F46">
        <v>1.9E-2</v>
      </c>
      <c r="G46">
        <v>24.7</v>
      </c>
      <c r="H46" t="str">
        <f t="shared" si="1"/>
        <v>-</v>
      </c>
      <c r="I46" s="1">
        <v>1.3</v>
      </c>
      <c r="J46">
        <v>104.8</v>
      </c>
      <c r="K46" t="str">
        <f t="shared" si="2"/>
        <v>?</v>
      </c>
      <c r="L46">
        <v>0.13600000000000001</v>
      </c>
      <c r="M46">
        <v>186.3</v>
      </c>
      <c r="N46" t="str">
        <f t="shared" si="3"/>
        <v>?</v>
      </c>
      <c r="O46" s="1">
        <v>1.47</v>
      </c>
      <c r="P46">
        <v>127.8</v>
      </c>
      <c r="Q46" t="str">
        <f t="shared" si="4"/>
        <v>?</v>
      </c>
      <c r="R46">
        <v>0.14099999999999999</v>
      </c>
      <c r="S46">
        <v>188</v>
      </c>
      <c r="T46" s="2" t="str">
        <f t="shared" si="5"/>
        <v>?</v>
      </c>
    </row>
    <row r="47" spans="1:20">
      <c r="A47" s="11" t="s">
        <v>12</v>
      </c>
      <c r="B47" s="13">
        <v>0.8</v>
      </c>
      <c r="C47" s="31">
        <v>1.21</v>
      </c>
      <c r="D47">
        <v>36.799999999999997</v>
      </c>
      <c r="E47" t="str">
        <f t="shared" si="0"/>
        <v>-</v>
      </c>
      <c r="F47">
        <v>3.4000000000000002E-2</v>
      </c>
      <c r="G47">
        <v>16</v>
      </c>
      <c r="H47" t="str">
        <f t="shared" si="1"/>
        <v>-</v>
      </c>
      <c r="I47" s="1">
        <v>3.94</v>
      </c>
      <c r="J47">
        <v>127.5</v>
      </c>
      <c r="K47" t="str">
        <f t="shared" si="2"/>
        <v>?</v>
      </c>
      <c r="L47">
        <v>6.9000000000000006E-2</v>
      </c>
      <c r="M47">
        <v>41.1</v>
      </c>
      <c r="N47" t="str">
        <f t="shared" si="3"/>
        <v>-</v>
      </c>
      <c r="O47" s="1">
        <v>4.43</v>
      </c>
      <c r="P47">
        <v>139.30000000000001</v>
      </c>
      <c r="Q47" t="str">
        <f t="shared" si="4"/>
        <v>?</v>
      </c>
      <c r="R47">
        <v>0.09</v>
      </c>
      <c r="S47">
        <v>56.2</v>
      </c>
      <c r="T47" s="2" t="str">
        <f t="shared" si="5"/>
        <v>?</v>
      </c>
    </row>
    <row r="48" spans="1:20">
      <c r="A48" s="11" t="s">
        <v>13</v>
      </c>
      <c r="B48" s="13">
        <v>0.8</v>
      </c>
      <c r="C48" s="31">
        <v>4.42</v>
      </c>
      <c r="D48">
        <v>401.8</v>
      </c>
      <c r="E48" t="str">
        <f t="shared" si="0"/>
        <v>?</v>
      </c>
      <c r="F48">
        <v>-4.0000000000000001E-3</v>
      </c>
      <c r="G48">
        <v>-2.9</v>
      </c>
      <c r="H48" t="str">
        <f t="shared" si="1"/>
        <v>-</v>
      </c>
      <c r="I48" s="1">
        <v>6.69</v>
      </c>
      <c r="J48">
        <v>643.29999999999995</v>
      </c>
      <c r="K48" t="str">
        <f t="shared" si="2"/>
        <v>?</v>
      </c>
      <c r="L48">
        <v>0.14499999999999999</v>
      </c>
      <c r="M48">
        <v>135.5</v>
      </c>
      <c r="N48" t="str">
        <f t="shared" si="3"/>
        <v>?</v>
      </c>
      <c r="O48" s="1">
        <v>7.1</v>
      </c>
      <c r="P48">
        <v>797.8</v>
      </c>
      <c r="Q48" t="str">
        <f t="shared" si="4"/>
        <v>?</v>
      </c>
      <c r="R48">
        <v>0.157</v>
      </c>
      <c r="S48">
        <v>189.2</v>
      </c>
      <c r="T48" s="2" t="str">
        <f t="shared" si="5"/>
        <v>?</v>
      </c>
    </row>
    <row r="49" spans="1:20">
      <c r="A49" s="11" t="s">
        <v>9</v>
      </c>
      <c r="B49" s="13">
        <v>0.9</v>
      </c>
      <c r="C49" s="31">
        <v>11.06</v>
      </c>
      <c r="D49">
        <v>529.20000000000005</v>
      </c>
      <c r="E49" t="str">
        <f t="shared" si="0"/>
        <v>?</v>
      </c>
      <c r="F49">
        <v>0.51300000000000001</v>
      </c>
      <c r="G49">
        <v>351.4</v>
      </c>
      <c r="H49" t="str">
        <f t="shared" si="1"/>
        <v>?</v>
      </c>
      <c r="I49" s="1">
        <v>12.12</v>
      </c>
      <c r="J49">
        <v>618.4</v>
      </c>
      <c r="K49" t="str">
        <f t="shared" si="2"/>
        <v>?</v>
      </c>
      <c r="L49">
        <v>0.496</v>
      </c>
      <c r="M49">
        <v>375.8</v>
      </c>
      <c r="N49" t="str">
        <f t="shared" si="3"/>
        <v>?</v>
      </c>
      <c r="O49" s="1">
        <v>12.1</v>
      </c>
      <c r="P49">
        <v>630.20000000000005</v>
      </c>
      <c r="Q49" t="str">
        <f t="shared" si="4"/>
        <v>?</v>
      </c>
      <c r="R49">
        <v>0.499</v>
      </c>
      <c r="S49">
        <v>380.9</v>
      </c>
      <c r="T49" s="2" t="str">
        <f t="shared" si="5"/>
        <v>?</v>
      </c>
    </row>
    <row r="50" spans="1:20">
      <c r="A50" s="11" t="s">
        <v>11</v>
      </c>
      <c r="B50" s="13">
        <v>0.9</v>
      </c>
      <c r="C50" s="31">
        <v>11.04</v>
      </c>
      <c r="D50">
        <v>623.70000000000005</v>
      </c>
      <c r="E50" t="str">
        <f t="shared" si="0"/>
        <v>?</v>
      </c>
      <c r="F50">
        <v>0.35199999999999998</v>
      </c>
      <c r="G50">
        <v>378.5</v>
      </c>
      <c r="H50" t="str">
        <f t="shared" si="1"/>
        <v>?</v>
      </c>
      <c r="I50" s="1">
        <v>10.54</v>
      </c>
      <c r="J50">
        <v>675.6</v>
      </c>
      <c r="K50" t="str">
        <f t="shared" si="2"/>
        <v>?</v>
      </c>
      <c r="L50">
        <v>0.503</v>
      </c>
      <c r="M50">
        <v>670.7</v>
      </c>
      <c r="N50" t="str">
        <f t="shared" si="3"/>
        <v>?</v>
      </c>
      <c r="O50" s="1">
        <v>10.49</v>
      </c>
      <c r="P50">
        <v>651.6</v>
      </c>
      <c r="Q50" t="str">
        <f t="shared" si="4"/>
        <v>?</v>
      </c>
      <c r="R50">
        <v>0.51</v>
      </c>
      <c r="S50">
        <v>761.2</v>
      </c>
      <c r="T50" s="2" t="str">
        <f t="shared" si="5"/>
        <v>?</v>
      </c>
    </row>
    <row r="51" spans="1:20">
      <c r="A51" s="11" t="s">
        <v>12</v>
      </c>
      <c r="B51" s="13">
        <v>0.9</v>
      </c>
      <c r="C51" s="31">
        <v>4.68</v>
      </c>
      <c r="D51">
        <v>105.9</v>
      </c>
      <c r="E51" t="str">
        <f t="shared" si="0"/>
        <v>?</v>
      </c>
      <c r="F51">
        <v>0.105</v>
      </c>
      <c r="G51">
        <v>56.1</v>
      </c>
      <c r="H51" t="str">
        <f t="shared" si="1"/>
        <v>?</v>
      </c>
      <c r="I51" s="1">
        <v>7.1</v>
      </c>
      <c r="J51">
        <v>172.3</v>
      </c>
      <c r="K51" t="str">
        <f t="shared" si="2"/>
        <v>?</v>
      </c>
      <c r="L51">
        <v>0.48199999999999998</v>
      </c>
      <c r="M51">
        <v>344.3</v>
      </c>
      <c r="N51" t="str">
        <f t="shared" si="3"/>
        <v>?</v>
      </c>
      <c r="O51" s="1">
        <v>7.34</v>
      </c>
      <c r="P51">
        <v>184</v>
      </c>
      <c r="Q51" t="str">
        <f t="shared" si="4"/>
        <v>?</v>
      </c>
      <c r="R51">
        <v>0.47799999999999998</v>
      </c>
      <c r="S51">
        <v>359.4</v>
      </c>
      <c r="T51" s="2" t="str">
        <f t="shared" si="5"/>
        <v>?</v>
      </c>
    </row>
    <row r="52" spans="1:20">
      <c r="A52" s="11" t="s">
        <v>13</v>
      </c>
      <c r="B52" s="13">
        <v>0.9</v>
      </c>
      <c r="C52" s="31">
        <v>13.89</v>
      </c>
      <c r="D52">
        <v>578.79999999999995</v>
      </c>
      <c r="E52" t="str">
        <f t="shared" si="0"/>
        <v>?</v>
      </c>
      <c r="F52">
        <v>0.32200000000000001</v>
      </c>
      <c r="G52">
        <v>176.9</v>
      </c>
      <c r="H52" t="str">
        <f t="shared" si="1"/>
        <v>?</v>
      </c>
      <c r="I52" s="1">
        <v>13.95</v>
      </c>
      <c r="J52">
        <v>642.9</v>
      </c>
      <c r="K52" t="str">
        <f t="shared" si="2"/>
        <v>?</v>
      </c>
      <c r="L52">
        <v>0.30099999999999999</v>
      </c>
      <c r="M52">
        <v>188.1</v>
      </c>
      <c r="N52" t="str">
        <f t="shared" si="3"/>
        <v>?</v>
      </c>
      <c r="O52" s="1">
        <v>13.98</v>
      </c>
      <c r="P52">
        <v>682</v>
      </c>
      <c r="Q52" t="str">
        <f t="shared" si="4"/>
        <v>?</v>
      </c>
      <c r="R52">
        <v>0.32800000000000001</v>
      </c>
      <c r="S52">
        <v>227.8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1.0539583333333333</v>
      </c>
      <c r="D56">
        <f>AVERAGE(D$5:D$52)</f>
        <v>58.216666666666676</v>
      </c>
      <c r="F56">
        <f>AVERAGE(F$5:F$52)</f>
        <v>3.5874999999999997E-2</v>
      </c>
      <c r="G56">
        <f>AVERAGE(G$5:G$52)</f>
        <v>30.324999999999999</v>
      </c>
      <c r="H56" s="25"/>
      <c r="I56" s="1">
        <f>AVERAGE(I$5:I$52)</f>
        <v>1.3089583333333332</v>
      </c>
      <c r="J56">
        <f>AVERAGE(J$5:J$52)</f>
        <v>70.147916666666674</v>
      </c>
      <c r="L56">
        <f>AVERAGE(L$5:L$52)</f>
        <v>5.547916666666667E-2</v>
      </c>
      <c r="M56">
        <f>AVERAGE(M$5:M$52)</f>
        <v>50.581250000000004</v>
      </c>
      <c r="N56" s="2"/>
      <c r="O56" s="25">
        <f>AVERAGE(O$5:O$52)</f>
        <v>1.3718750000000002</v>
      </c>
      <c r="P56">
        <f>AVERAGE(P$5:P$52)</f>
        <v>80.05416666666666</v>
      </c>
      <c r="R56">
        <f>AVERAGE(R$5:R$52)</f>
        <v>6.385416666666667E-2</v>
      </c>
      <c r="S56">
        <f>AVERAGE(S$5:S$52)</f>
        <v>62.824999999999996</v>
      </c>
      <c r="T56" s="25"/>
    </row>
    <row r="57" spans="1:20">
      <c r="B57" s="4" t="s">
        <v>20</v>
      </c>
      <c r="C57" s="25">
        <f>MEDIAN(C$5:C$52)</f>
        <v>0.185</v>
      </c>
      <c r="D57">
        <f>MEDIAN(D$5:D$52)</f>
        <v>15.15</v>
      </c>
      <c r="F57">
        <f>MEDIAN(F$5:F$52)</f>
        <v>0.02</v>
      </c>
      <c r="G57">
        <f>MEDIAN(G$5:G$52)</f>
        <v>16.2</v>
      </c>
      <c r="H57" s="25"/>
      <c r="I57" s="1">
        <f>MEDIAN(I$5:I$52)</f>
        <v>0.13500000000000001</v>
      </c>
      <c r="J57">
        <f>MEDIAN(J$5:J$52)</f>
        <v>12.350000000000001</v>
      </c>
      <c r="L57">
        <f>MEDIAN(L$5:L$52)</f>
        <v>1.7999999999999999E-2</v>
      </c>
      <c r="M57">
        <f>MEDIAN(M$5:M$52)</f>
        <v>19.25</v>
      </c>
      <c r="N57" s="2"/>
      <c r="O57" s="25">
        <f>MEDIAN(O$5:O$52)</f>
        <v>0.14000000000000001</v>
      </c>
      <c r="P57">
        <f>MEDIAN(P$5:P$52)</f>
        <v>14.2</v>
      </c>
      <c r="R57">
        <f>MEDIAN(R$5:R$52)</f>
        <v>2.35E-2</v>
      </c>
      <c r="S57">
        <f>MEDIAN(S$5:S$52)</f>
        <v>24.25</v>
      </c>
      <c r="T57" s="25"/>
    </row>
    <row r="58" spans="1:20">
      <c r="B58" s="4" t="s">
        <v>21</v>
      </c>
      <c r="C58" s="25">
        <f>STDEV(C$5:C$52)</f>
        <v>3.0410592636506544</v>
      </c>
      <c r="D58">
        <f>STDEV(D$5:D$52)</f>
        <v>149.99931394642167</v>
      </c>
      <c r="F58">
        <f>STDEV(F$5:F$52)</f>
        <v>0.1012365304936068</v>
      </c>
      <c r="G58">
        <f>STDEV(G$5:G$52)</f>
        <v>79.094878388136124</v>
      </c>
      <c r="H58" s="25"/>
      <c r="I58" s="1">
        <f>STDEV(I$5:I$52)</f>
        <v>3.2359886118618051</v>
      </c>
      <c r="J58">
        <f>STDEV(J$5:J$52)</f>
        <v>179.30077427368192</v>
      </c>
      <c r="L58">
        <f>STDEV(L$5:L$52)</f>
        <v>0.12932360689919856</v>
      </c>
      <c r="M58">
        <f>STDEV(M$5:M$52)</f>
        <v>124.25930275761453</v>
      </c>
      <c r="N58" s="2"/>
      <c r="O58" s="25">
        <f>STDEV(O$5:O$52)</f>
        <v>3.2530526784427272</v>
      </c>
      <c r="P58">
        <f>STDEV(P$5:P$52)</f>
        <v>191.44007779596419</v>
      </c>
      <c r="R58">
        <f>STDEV(R$5:R$52)</f>
        <v>0.12824345026339939</v>
      </c>
      <c r="S58">
        <f>STDEV(S$5:S$52)</f>
        <v>134.35122199319153</v>
      </c>
      <c r="T58" s="25"/>
    </row>
    <row r="59" spans="1:20">
      <c r="B59" s="4" t="s">
        <v>22</v>
      </c>
      <c r="C59" s="25">
        <f>COUNTIF(C$5:C$52, "&lt;0")</f>
        <v>12</v>
      </c>
      <c r="D59">
        <f>COUNTIF(D$5:D$52, "&lt;0")</f>
        <v>12</v>
      </c>
      <c r="F59">
        <f>COUNTIF(F$5:F$52, "&lt;0")</f>
        <v>15</v>
      </c>
      <c r="G59">
        <f>COUNTIF(G$5:G$52, "&lt;0")</f>
        <v>15</v>
      </c>
      <c r="H59" s="25"/>
      <c r="I59" s="1">
        <f>COUNTIF(I$5:I$52, "&lt;0")</f>
        <v>13</v>
      </c>
      <c r="J59">
        <f>COUNTIF(J$5:J$52, "&lt;0")</f>
        <v>13</v>
      </c>
      <c r="L59">
        <f>COUNTIF(L$5:L$52, "&lt;0")</f>
        <v>10</v>
      </c>
      <c r="M59">
        <f>COUNTIF(M$5:M$52, "&lt;0")</f>
        <v>10</v>
      </c>
      <c r="N59" s="2"/>
      <c r="O59" s="25">
        <f>COUNTIF(O$5:O$52, "&lt;0")</f>
        <v>8</v>
      </c>
      <c r="P59">
        <f>COUNTIF(P$5:P$52, "&lt;0")</f>
        <v>8</v>
      </c>
      <c r="R59">
        <f>COUNTIF(R$5:R$52, "&lt;0")</f>
        <v>10</v>
      </c>
      <c r="S59">
        <f>COUNTIF(S$5:S$52, "&lt;0")</f>
        <v>10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6.0416666666666646E-2</v>
      </c>
      <c r="D63">
        <f>AVERAGE(D$5:D$28)</f>
        <v>5.6208333333333336</v>
      </c>
      <c r="F63">
        <f>AVERAGE(F$5:F$28)</f>
        <v>5.749999999999999E-3</v>
      </c>
      <c r="G63">
        <f>AVERAGE(G$5:G$28)</f>
        <v>6.2333333333333316</v>
      </c>
      <c r="H63" s="25"/>
      <c r="I63" s="1">
        <f>AVERAGE(I$5:I$28)</f>
        <v>0.15375000000000005</v>
      </c>
      <c r="J63">
        <f>AVERAGE(J$5:J$28)</f>
        <v>5.9291666666666671</v>
      </c>
      <c r="L63">
        <f>AVERAGE(L$5:L$28)</f>
        <v>1.5958333333333338E-2</v>
      </c>
      <c r="M63">
        <f>AVERAGE(M$5:M$28)</f>
        <v>14.68333333333333</v>
      </c>
      <c r="N63" s="2"/>
      <c r="O63" s="25">
        <f>AVERAGE(O$5:O$28)</f>
        <v>0.14249999999999999</v>
      </c>
      <c r="P63">
        <f>AVERAGE(P$5:P$28)</f>
        <v>7.9916666666666663</v>
      </c>
      <c r="R63">
        <f>AVERAGE(R$5:R$28)</f>
        <v>2.1250000000000008E-2</v>
      </c>
      <c r="S63">
        <f>AVERAGE(S$5:S$28)</f>
        <v>19.487499999999997</v>
      </c>
      <c r="T63" s="25"/>
    </row>
    <row r="64" spans="1:20">
      <c r="B64" s="4" t="s">
        <v>20</v>
      </c>
      <c r="C64" s="25">
        <f>MEDIAN(C$5:C$28)</f>
        <v>9.5000000000000001E-2</v>
      </c>
      <c r="D64">
        <f>MEDIAN(D$5:D$28)</f>
        <v>6.15</v>
      </c>
      <c r="F64">
        <f>MEDIAN(F$5:F$28)</f>
        <v>1.6E-2</v>
      </c>
      <c r="G64">
        <f>MEDIAN(G$5:G$28)</f>
        <v>14.850000000000001</v>
      </c>
      <c r="H64" s="25"/>
      <c r="I64" s="1">
        <f>MEDIAN(I$5:I$28)</f>
        <v>9.5000000000000001E-2</v>
      </c>
      <c r="J64">
        <f>MEDIAN(J$5:J$28)</f>
        <v>8.3000000000000007</v>
      </c>
      <c r="L64">
        <f>MEDIAN(L$5:L$28)</f>
        <v>1.7000000000000001E-2</v>
      </c>
      <c r="M64">
        <f>MEDIAN(M$5:M$28)</f>
        <v>13.55</v>
      </c>
      <c r="N64" s="2"/>
      <c r="O64" s="25">
        <f>MEDIAN(O$5:O$28)</f>
        <v>9.5000000000000001E-2</v>
      </c>
      <c r="P64">
        <f>MEDIAN(P$5:P$28)</f>
        <v>10.050000000000001</v>
      </c>
      <c r="R64">
        <f>MEDIAN(R$5:R$28)</f>
        <v>2.0499999999999997E-2</v>
      </c>
      <c r="S64">
        <f>MEDIAN(S$5:S$28)</f>
        <v>19.350000000000001</v>
      </c>
      <c r="T64" s="25"/>
    </row>
    <row r="65" spans="2:20">
      <c r="B65" s="4" t="s">
        <v>21</v>
      </c>
      <c r="C65" s="25">
        <f>STDEV(C$5:C$28)</f>
        <v>0.45788245279734197</v>
      </c>
      <c r="D65">
        <f>STDEV(D$5:D$28)</f>
        <v>22.489069406127573</v>
      </c>
      <c r="F65">
        <f>STDEV(F$5:F$28)</f>
        <v>3.1697277348446636E-2</v>
      </c>
      <c r="G65">
        <f>STDEV(G$5:G$28)</f>
        <v>24.376033608705775</v>
      </c>
      <c r="H65" s="25"/>
      <c r="I65" s="1">
        <f>STDEV(I$5:I$28)</f>
        <v>0.51641584608429325</v>
      </c>
      <c r="J65">
        <f>STDEV(J$5:J$28)</f>
        <v>24.463059625318415</v>
      </c>
      <c r="L65">
        <f>STDEV(L$5:L$28)</f>
        <v>4.6387291331801743E-2</v>
      </c>
      <c r="M65">
        <f>STDEV(M$5:M$28)</f>
        <v>38.611742600751221</v>
      </c>
      <c r="N65" s="2"/>
      <c r="O65" s="25">
        <f>STDEV(O$5:O$28)</f>
        <v>0.49075142029518271</v>
      </c>
      <c r="P65">
        <f>STDEV(P$5:P$28)</f>
        <v>25.960436732888738</v>
      </c>
      <c r="R65">
        <f>STDEV(R$5:R$28)</f>
        <v>4.1265049955453666E-2</v>
      </c>
      <c r="S65">
        <f>STDEV(S$5:S$28)</f>
        <v>31.553492365105683</v>
      </c>
      <c r="T65" s="25"/>
    </row>
    <row r="66" spans="2:20">
      <c r="B66" s="4" t="s">
        <v>22</v>
      </c>
      <c r="C66" s="25">
        <f>COUNTIF(C$5:C$28, "&lt;0")</f>
        <v>8</v>
      </c>
      <c r="D66">
        <f>COUNTIF(D$5:D$28, "&lt;0")</f>
        <v>8</v>
      </c>
      <c r="F66">
        <f>COUNTIF(F$5:F$28, "&lt;0")</f>
        <v>9</v>
      </c>
      <c r="G66">
        <f>COUNTIF(G$5:G$28, "&lt;0")</f>
        <v>9</v>
      </c>
      <c r="H66" s="25"/>
      <c r="I66" s="1">
        <f>COUNTIF(I$5:I$28, "&lt;0")</f>
        <v>9</v>
      </c>
      <c r="J66">
        <f>COUNTIF(J$5:J$28, "&lt;0")</f>
        <v>9</v>
      </c>
      <c r="L66">
        <f>COUNTIF(L$5:L$28, "&lt;0")</f>
        <v>5</v>
      </c>
      <c r="M66">
        <f>COUNTIF(M$5:M$28, "&lt;0")</f>
        <v>5</v>
      </c>
      <c r="N66" s="2"/>
      <c r="O66" s="25">
        <f>COUNTIF(O$5:O$28, "&lt;0")</f>
        <v>7</v>
      </c>
      <c r="P66">
        <f>COUNTIF(P$5:P$28, "&lt;0")</f>
        <v>7</v>
      </c>
      <c r="R66">
        <f>COUNTIF(R$5:R$28, "&lt;0")</f>
        <v>5</v>
      </c>
      <c r="S66">
        <f>COUNTIF(S$5:S$28, "&lt;0")</f>
        <v>5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2.0474999999999999</v>
      </c>
      <c r="D70">
        <f>AVERAGE(D$29:D$52)</f>
        <v>110.8125</v>
      </c>
      <c r="F70">
        <f>AVERAGE(F$29:F$52)</f>
        <v>6.6000000000000003E-2</v>
      </c>
      <c r="G70">
        <f>AVERAGE(G$29:G$52)</f>
        <v>54.416666666666664</v>
      </c>
      <c r="H70" s="25"/>
      <c r="I70" s="1">
        <f>AVERAGE(I$29:I$52)</f>
        <v>2.4641666666666668</v>
      </c>
      <c r="J70">
        <f>AVERAGE(J$29:J$52)</f>
        <v>134.36666666666667</v>
      </c>
      <c r="L70">
        <f>AVERAGE(L$29:L$52)</f>
        <v>9.4999999999999987E-2</v>
      </c>
      <c r="M70">
        <f>AVERAGE(M$29:M$52)</f>
        <v>86.479166666666671</v>
      </c>
      <c r="N70" s="2"/>
      <c r="O70" s="25">
        <f>AVERAGE(O$29:O$52)</f>
        <v>2.6012500000000003</v>
      </c>
      <c r="P70">
        <f>AVERAGE(P$29:P$52)</f>
        <v>152.11666666666665</v>
      </c>
      <c r="R70">
        <f>AVERAGE(R$29:R$52)</f>
        <v>0.10645833333333332</v>
      </c>
      <c r="S70">
        <f>AVERAGE(S$29:S$52)</f>
        <v>106.16250000000001</v>
      </c>
      <c r="T70" s="25"/>
    </row>
    <row r="71" spans="2:20">
      <c r="B71" s="4" t="s">
        <v>20</v>
      </c>
      <c r="C71" s="25">
        <f>MEDIAN(C$29:C$52)</f>
        <v>0.27</v>
      </c>
      <c r="D71">
        <f>MEDIAN(D$29:D$52)</f>
        <v>24.1</v>
      </c>
      <c r="F71">
        <f>MEDIAN(F$29:F$52)</f>
        <v>2.2499999999999999E-2</v>
      </c>
      <c r="G71">
        <f>MEDIAN(G$29:G$52)</f>
        <v>21</v>
      </c>
      <c r="H71" s="25"/>
      <c r="I71" s="1">
        <f>MEDIAN(I$29:I$52)</f>
        <v>0.26500000000000001</v>
      </c>
      <c r="J71">
        <f>MEDIAN(J$29:J$52)</f>
        <v>23.55</v>
      </c>
      <c r="L71">
        <f>MEDIAN(L$29:L$52)</f>
        <v>1.8499999999999999E-2</v>
      </c>
      <c r="M71">
        <f>MEDIAN(M$29:M$52)</f>
        <v>23.5</v>
      </c>
      <c r="N71" s="2"/>
      <c r="O71" s="25">
        <f>MEDIAN(O$29:O$52)</f>
        <v>0.38500000000000001</v>
      </c>
      <c r="P71">
        <f>MEDIAN(P$29:P$52)</f>
        <v>32.549999999999997</v>
      </c>
      <c r="R71">
        <f>MEDIAN(R$29:R$52)</f>
        <v>3.0000000000000002E-2</v>
      </c>
      <c r="S71">
        <f>MEDIAN(S$29:S$52)</f>
        <v>35.5</v>
      </c>
      <c r="T71" s="25"/>
    </row>
    <row r="72" spans="2:20">
      <c r="B72" s="4" t="s">
        <v>21</v>
      </c>
      <c r="C72" s="25">
        <f>STDEV(C$29:C$52)</f>
        <v>4.0777969862254748</v>
      </c>
      <c r="D72">
        <f>STDEV(D$29:D$52)</f>
        <v>199.2458003757954</v>
      </c>
      <c r="F72">
        <f>STDEV(F$29:F$52)</f>
        <v>0.13433022256980062</v>
      </c>
      <c r="G72">
        <f>STDEV(G$29:G$52)</f>
        <v>104.77843981122911</v>
      </c>
      <c r="H72" s="25"/>
      <c r="I72" s="1">
        <f>STDEV(I$29:I$52)</f>
        <v>4.2833153724317494</v>
      </c>
      <c r="J72">
        <f>STDEV(J$29:J$52)</f>
        <v>237.67658271486169</v>
      </c>
      <c r="L72">
        <f>STDEV(L$29:L$52)</f>
        <v>0.16960234822000292</v>
      </c>
      <c r="M72">
        <f>STDEV(M$29:M$52)</f>
        <v>165.44432395736686</v>
      </c>
      <c r="N72" s="2"/>
      <c r="O72" s="25">
        <f>STDEV(O$29:O$52)</f>
        <v>4.2696393417589329</v>
      </c>
      <c r="P72">
        <f>STDEV(P$29:P$52)</f>
        <v>251.75491475132969</v>
      </c>
      <c r="R72">
        <f>STDEV(R$29:R$52)</f>
        <v>0.16768111017686199</v>
      </c>
      <c r="S72">
        <f>STDEV(S$29:S$52)</f>
        <v>178.80178438099011</v>
      </c>
      <c r="T72" s="25"/>
    </row>
    <row r="73" spans="2:20">
      <c r="B73" s="4" t="s">
        <v>22</v>
      </c>
      <c r="C73" s="25">
        <f>COUNTIF(C$29:C$52, "&lt;0")</f>
        <v>4</v>
      </c>
      <c r="D73">
        <f>COUNTIF(D$29:D$52, "&lt;0")</f>
        <v>4</v>
      </c>
      <c r="F73">
        <f>COUNTIF(F$29:F$52, "&lt;0")</f>
        <v>6</v>
      </c>
      <c r="G73">
        <f>COUNTIF(G$29:G$52, "&lt;0")</f>
        <v>6</v>
      </c>
      <c r="H73" s="25"/>
      <c r="I73" s="1">
        <f>COUNTIF(I$29:I$52, "&lt;0")</f>
        <v>4</v>
      </c>
      <c r="J73">
        <f>COUNTIF(J$29:J$52, "&lt;0")</f>
        <v>4</v>
      </c>
      <c r="L73">
        <f>COUNTIF(L$29:L$52, "&lt;0")</f>
        <v>5</v>
      </c>
      <c r="M73">
        <f>COUNTIF(M$29:M$52, "&lt;0")</f>
        <v>5</v>
      </c>
      <c r="N73" s="2"/>
      <c r="O73" s="25">
        <f>COUNTIF(O$29:O$52, "&lt;0")</f>
        <v>1</v>
      </c>
      <c r="P73">
        <f>COUNTIF(P$29:P$52, "&lt;0")</f>
        <v>1</v>
      </c>
      <c r="R73">
        <f>COUNTIF(R$29:R$52, "&lt;0")</f>
        <v>5</v>
      </c>
      <c r="S73">
        <f>COUNTIF(S$29:S$52, "&lt;0")</f>
        <v>5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1.244930555555555</v>
      </c>
      <c r="D77">
        <f>AVERAGE(D$5:D$52,J$5:J$52,P$5:P$52)</f>
        <v>69.472916666666663</v>
      </c>
      <c r="F77">
        <f>AVERAGE(F$5:F$52,L$5:L$52,R$5:R$52)</f>
        <v>5.1736111111111122E-2</v>
      </c>
      <c r="G77">
        <f>AVERAGE(G$5:G$52,M$5:M$52,S$5:S$52)</f>
        <v>47.910416666666634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0.15500000000000003</v>
      </c>
      <c r="D78">
        <f>MEDIAN(D$5:D$52,J$5:J$52,P$5:P$52)</f>
        <v>14.2</v>
      </c>
      <c r="F78">
        <f>MEDIAN(F$5:F$52,L$5:L$52,R$5:R$52)</f>
        <v>2.1000000000000001E-2</v>
      </c>
      <c r="G78">
        <f>MEDIAN(G$5:G$52,M$5:M$52,S$5:S$52)</f>
        <v>20.350000000000001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3.1588654235934972</v>
      </c>
      <c r="D79">
        <f>STDEV(D$5:D$52,J$5:J$52,P$5:P$52)</f>
        <v>173.45678215437309</v>
      </c>
      <c r="F79">
        <f>STDEV(F$5:F$52,L$5:L$52,R$5:R$52)</f>
        <v>0.12003868759294439</v>
      </c>
      <c r="G79">
        <f>STDEV(G$5:G$52,M$5:M$52,S$5:S$52)</f>
        <v>115.0844923534216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33</v>
      </c>
      <c r="D80">
        <f>COUNTIF(D$5:D$52, "&lt;0")+COUNTIF(J$5:J$52, "&lt;0")+COUNTIF(P$5:P$52, "&lt;0")</f>
        <v>33</v>
      </c>
      <c r="F80">
        <f>COUNTIF(F$5:F$52, "&lt;0")+COUNTIF(L$5:L$52, "&lt;0")+COUNTIF(R$5:R$52, "&lt;0")</f>
        <v>35</v>
      </c>
      <c r="G80">
        <f>COUNTIF(G$5:G$52, "&lt;0")+COUNTIF(M$5:M$52, "&lt;0")+COUNTIF(S$5:S$52, "&lt;0")</f>
        <v>35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1.3829861111111104</v>
      </c>
      <c r="D83" cm="1">
        <f t="array" ref="D83">AVERAGE(ABS(D$5:D$52),ABS(J$5:J$52),ABS(P$5:P$52))</f>
        <v>77.481250000000003</v>
      </c>
      <c r="F83" cm="1">
        <f t="array" ref="F83">AVERAGE(ABS(F$5:F$52),ABS(L$5:L$52),ABS(R$5:R$52))</f>
        <v>6.4305555555555546E-2</v>
      </c>
      <c r="G83" cm="1">
        <f t="array" ref="G83">AVERAGE(ABS(G$5:G$52),ABS(M$5:M$52),ABS(S$5:S$52))</f>
        <v>58.549305555555549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0.255</v>
      </c>
      <c r="D84" cm="1">
        <f t="array" ref="D84">MEDIAN(ABS(D$5:D$52),ABS(J$5:J$52),ABS(P$5:P$52))</f>
        <v>18.8</v>
      </c>
      <c r="F84" cm="1">
        <f t="array" ref="F84">MEDIAN(ABS(F$5:F$52),ABS(L$5:L$52),ABS(R$5:R$52))</f>
        <v>2.4500000000000001E-2</v>
      </c>
      <c r="G84" cm="1">
        <f t="array" ref="G84">MEDIAN(ABS(G$5:G$52),ABS(M$5:M$52),ABS(S$5:S$52))</f>
        <v>25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3.100499188290327</v>
      </c>
      <c r="D85" cm="1">
        <f t="array" ref="D85">STDEV(ABS(D$5:D$52),ABS(J$5:J$52),ABS(P$5:P$52))</f>
        <v>170.00637502187064</v>
      </c>
      <c r="F85" cm="1">
        <f t="array" ref="F85">STDEV(ABS(F$5:F$52),ABS(L$5:L$52),ABS(R$5:R$52))</f>
        <v>0.11375635095021011</v>
      </c>
      <c r="G85" cm="1">
        <f t="array" ref="G85">STDEV(ABS(G$5:G$52),ABS(M$5:M$52),ABS(S$5:S$52))</f>
        <v>110.01775698795727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0.11888888888888892</v>
      </c>
      <c r="D89">
        <f>AVERAGE(D$5:D$28,J$5:J$28,P$5:P$28)</f>
        <v>6.5138888888888875</v>
      </c>
      <c r="F89">
        <f>AVERAGE(F$5:F$28,L$5:L$28,R$5:R$28)</f>
        <v>1.4319444444444447E-2</v>
      </c>
      <c r="G89">
        <f>AVERAGE(G$5:G$28,M$5:M$28,S$5:S$28)</f>
        <v>13.468055555555553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9.5000000000000001E-2</v>
      </c>
      <c r="D90">
        <f>MEDIAN(D$5:D$28,J$5:J$28,P$5:P$28)</f>
        <v>8.4</v>
      </c>
      <c r="F90">
        <f>MEDIAN(F$5:F$28,L$5:L$28,R$5:R$28)</f>
        <v>1.7500000000000002E-2</v>
      </c>
      <c r="G90">
        <f>MEDIAN(G$5:G$28,M$5:M$28,S$5:S$28)</f>
        <v>16.2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0.4838186004947137</v>
      </c>
      <c r="D91">
        <f>STDEV(D$5:D$28,J$5:J$28,P$5:P$28)</f>
        <v>24.023775228153308</v>
      </c>
      <c r="F91">
        <f>STDEV(F$5:F$28,L$5:L$28,R$5:R$28)</f>
        <v>4.0200843095667835E-2</v>
      </c>
      <c r="G91">
        <f>STDEV(G$5:G$28,M$5:M$28,S$5:S$28)</f>
        <v>32.06878534258793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24</v>
      </c>
      <c r="D92">
        <f>COUNTIF(D$5:D$28, "&lt;0")+COUNTIF(J$5:J$28, "&lt;0")+COUNTIF(P$5:P$28, "&lt;0")</f>
        <v>24</v>
      </c>
      <c r="F92">
        <f>COUNTIF(F$5:F$28, "&lt;0")+COUNTIF(L$5:L$28, "&lt;0")+COUNTIF(R$5:R$28, "&lt;0")</f>
        <v>19</v>
      </c>
      <c r="G92">
        <f>COUNTIF(G$5:G$28, "&lt;0")+COUNTIF(M$5:M$28, "&lt;0")+COUNTIF(S$5:S$28, "&lt;0")</f>
        <v>19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0.33138888888888884</v>
      </c>
      <c r="D95" cm="1">
        <f t="array" ref="D95">AVERAGE(ABS(D$5:D$28),ABS(J$5:J$28),ABS(P$5:P$28))</f>
        <v>19.166666666666668</v>
      </c>
      <c r="F95" cm="1">
        <f t="array" ref="F95">AVERAGE(ABS(F$5:F$28),ABS(L$5:L$28),ABS(R$5:R$28))</f>
        <v>3.176388888888889E-2</v>
      </c>
      <c r="G95" cm="1">
        <f t="array" ref="G95">AVERAGE(ABS(G$5:G$28),ABS(M$5:M$28),ABS(S$5:S$28))</f>
        <v>27.712500000000006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0.2</v>
      </c>
      <c r="D96" cm="1">
        <f t="array" ref="D96">MEDIAN(ABS(D$5:D$28),ABS(J$5:J$28),ABS(P$5:P$28))</f>
        <v>14.65</v>
      </c>
      <c r="F96" cm="1">
        <f t="array" ref="F96">MEDIAN(ABS(F$5:F$28),ABS(L$5:L$28),ABS(R$5:R$28))</f>
        <v>2.3E-2</v>
      </c>
      <c r="G96" cm="1">
        <f t="array" ref="G96">MEDIAN(ABS(G$5:G$28),ABS(M$5:M$28),ABS(S$5:S$28))</f>
        <v>22.4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0.37020095629781724</v>
      </c>
      <c r="D97" cm="1">
        <f t="array" ref="D97">STDEV(ABS(D$5:D$28),ABS(J$5:J$28),ABS(P$5:P$28))</f>
        <v>15.736420481718984</v>
      </c>
      <c r="F97" cm="1">
        <f t="array" ref="F97">STDEV(ABS(F$5:F$28),ABS(L$5:L$28),ABS(R$5:R$28))</f>
        <v>2.8299949263656088E-2</v>
      </c>
      <c r="G97" cm="1">
        <f t="array" ref="G97">STDEV(ABS(G$5:G$28),ABS(M$5:M$28),ABS(S$5:S$28))</f>
        <v>20.821886761527125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2.3709722222222216</v>
      </c>
      <c r="D101">
        <f>AVERAGE(D$29:D$52,J$29:J$52,P$29:P$52)</f>
        <v>132.43194444444444</v>
      </c>
      <c r="F101">
        <f>AVERAGE(F$29:F$52,L$29:L$52,R$29:R$52)</f>
        <v>8.9152777777777789E-2</v>
      </c>
      <c r="G101">
        <f>AVERAGE(G$29:G$52,M$29:M$52,S$29:S$52)</f>
        <v>82.35277777777776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0.28999999999999998</v>
      </c>
      <c r="D102">
        <f>MEDIAN(D$29:D$52,J$29:J$52,P$29:P$52)</f>
        <v>24.9</v>
      </c>
      <c r="F102">
        <f>MEDIAN(F$29:F$52,L$29:L$52,R$29:R$52)</f>
        <v>2.4500000000000001E-2</v>
      </c>
      <c r="G102">
        <f>MEDIAN(G$29:G$52,M$29:M$52,S$29:S$52)</f>
        <v>24.85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4.1583248115862901</v>
      </c>
      <c r="D103">
        <f>STDEV(D$29:D$52,J$29:J$52,P$29:P$52)</f>
        <v>227.99516910275545</v>
      </c>
      <c r="F103">
        <f>STDEV(F$29:F$52,L$29:L$52,R$29:R$52)</f>
        <v>0.15673532545567512</v>
      </c>
      <c r="G103">
        <f>STDEV(G$29:G$52,M$29:M$52,S$29:S$52)</f>
        <v>152.45014421458743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9</v>
      </c>
      <c r="D104">
        <f>COUNTIF(D$29:D$52, "&lt;0")+COUNTIF(J$29:J$52, "&lt;0")+COUNTIF(P$29:P$52, "&lt;0")</f>
        <v>9</v>
      </c>
      <c r="F104">
        <f>COUNTIF(F$29:F$52, "&lt;0")+COUNTIF(L$29:L$52, "&lt;0")+COUNTIF(R$29:R$52, "&lt;0")</f>
        <v>16</v>
      </c>
      <c r="G104">
        <f>COUNTIF(G$29:G$52, "&lt;0")+COUNTIF(M$29:M$52, "&lt;0")+COUNTIF(S$29:S$52, "&lt;0")</f>
        <v>16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2.4345833333333329</v>
      </c>
      <c r="D107" cm="1">
        <f t="array" ref="D107">AVERAGE(ABS(D$29:D$52),ABS(J$29:J$52),ABS(P$29:P$52))</f>
        <v>135.79583333333335</v>
      </c>
      <c r="F107" cm="1">
        <f t="array" ref="F107">AVERAGE(ABS(F$29:F$52),ABS(L$29:L$52),ABS(R$29:R$52))</f>
        <v>9.6847222222222223E-2</v>
      </c>
      <c r="G107" cm="1">
        <f t="array" ref="G107">AVERAGE(ABS(G$29:G$52),ABS(M$29:M$52),ABS(S$29:S$52))</f>
        <v>89.386111111111106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0.33999999999999997</v>
      </c>
      <c r="D108" cm="1">
        <f t="array" ref="D108">MEDIAN(ABS(D$29:D$52),ABS(J$29:J$52),ABS(P$29:P$52))</f>
        <v>24.9</v>
      </c>
      <c r="F108" cm="1">
        <f t="array" ref="F108">MEDIAN(ABS(F$29:F$52),ABS(L$29:L$52),ABS(R$29:R$52))</f>
        <v>2.9499999999999998E-2</v>
      </c>
      <c r="G108" cm="1">
        <f t="array" ref="G108">MEDIAN(ABS(G$29:G$52),ABS(M$29:M$52),ABS(S$29:S$52))</f>
        <v>30.3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4.1208825587949347</v>
      </c>
      <c r="D109" cm="1">
        <f t="array" ref="D109">STDEV(ABS(D$29:D$52),ABS(J$29:J$52),ABS(P$29:P$52))</f>
        <v>225.97964599700029</v>
      </c>
      <c r="F109" cm="1">
        <f t="array" ref="F109">STDEV(ABS(F$29:F$52),ABS(L$29:L$52),ABS(R$29:R$52))</f>
        <v>0.15203499038719484</v>
      </c>
      <c r="G109" cm="1">
        <f t="array" ref="G109">STDEV(ABS(G$29:G$52),ABS(M$29:M$52),ABS(S$29:S$52))</f>
        <v>148.37835754408536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D40F-F171-4ADC-A6B4-6EBE99681FE5}">
  <dimension ref="A1:T109"/>
  <sheetViews>
    <sheetView topLeftCell="A32" workbookViewId="0">
      <selection activeCell="D60" sqref="D60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8" t="s">
        <v>1</v>
      </c>
      <c r="D2" s="16"/>
      <c r="E2" s="16"/>
      <c r="F2" s="16"/>
      <c r="G2" s="16"/>
      <c r="H2" s="17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-0.18</v>
      </c>
      <c r="D5">
        <v>-11.6</v>
      </c>
      <c r="E5" t="str">
        <f>IF(ABS(D5)&gt;50,"?","-")</f>
        <v>-</v>
      </c>
      <c r="F5">
        <v>-4.0000000000000001E-3</v>
      </c>
      <c r="G5">
        <v>-2.8</v>
      </c>
      <c r="H5" t="str">
        <f>IF(ABS(G5)&gt;50,"?","-")</f>
        <v>-</v>
      </c>
      <c r="I5" s="1">
        <v>-0.32</v>
      </c>
      <c r="J5">
        <v>-19.399999999999999</v>
      </c>
      <c r="K5" t="str">
        <f>IF(ABS(J5)&gt;50,"?","-")</f>
        <v>-</v>
      </c>
      <c r="L5">
        <v>-2.9000000000000001E-2</v>
      </c>
      <c r="M5">
        <v>-18.399999999999999</v>
      </c>
      <c r="N5" t="str">
        <f>IF(ABS(M5)&gt;50,"?","-")</f>
        <v>-</v>
      </c>
      <c r="O5" s="1">
        <v>-0.26</v>
      </c>
      <c r="P5">
        <v>-16.2</v>
      </c>
      <c r="Q5" t="str">
        <f>IF(ABS(P5)&gt;50,"?","-")</f>
        <v>-</v>
      </c>
      <c r="R5">
        <v>-1.7000000000000001E-2</v>
      </c>
      <c r="S5">
        <v>-11.7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-0.19</v>
      </c>
      <c r="D6">
        <v>-13.9</v>
      </c>
      <c r="E6" t="str">
        <f t="shared" ref="E6:E52" si="0">IF(ABS(D6)&gt;50,"?","-")</f>
        <v>-</v>
      </c>
      <c r="F6">
        <v>-6.0000000000000001E-3</v>
      </c>
      <c r="G6">
        <v>-5.7</v>
      </c>
      <c r="H6" t="str">
        <f t="shared" ref="H6:H52" si="1">IF(ABS(G6)&gt;50,"?","-")</f>
        <v>-</v>
      </c>
      <c r="I6" s="1">
        <v>-0.26</v>
      </c>
      <c r="J6">
        <v>-19.3</v>
      </c>
      <c r="K6" t="str">
        <f t="shared" ref="K6:K52" si="2">IF(ABS(J6)&gt;50,"?","-")</f>
        <v>-</v>
      </c>
      <c r="L6">
        <v>-1E-3</v>
      </c>
      <c r="M6">
        <v>-1</v>
      </c>
      <c r="N6" t="str">
        <f t="shared" ref="N6:N52" si="3">IF(ABS(M6)&gt;50,"?","-")</f>
        <v>-</v>
      </c>
      <c r="O6" s="1">
        <v>-0.28000000000000003</v>
      </c>
      <c r="P6">
        <v>-20.7</v>
      </c>
      <c r="Q6" t="str">
        <f t="shared" ref="Q6:Q52" si="4">IF(ABS(P6)&gt;50,"?","-")</f>
        <v>-</v>
      </c>
      <c r="R6">
        <v>-6.0000000000000001E-3</v>
      </c>
      <c r="S6">
        <v>-5.8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-0.28999999999999998</v>
      </c>
      <c r="D7">
        <v>-6.1</v>
      </c>
      <c r="E7" t="str">
        <f t="shared" si="0"/>
        <v>-</v>
      </c>
      <c r="F7">
        <v>-2.4E-2</v>
      </c>
      <c r="G7">
        <v>-7.7</v>
      </c>
      <c r="H7" t="str">
        <f t="shared" si="1"/>
        <v>-</v>
      </c>
      <c r="I7" s="1">
        <v>0.28999999999999998</v>
      </c>
      <c r="J7">
        <v>6.9</v>
      </c>
      <c r="K7" t="str">
        <f t="shared" si="2"/>
        <v>-</v>
      </c>
      <c r="L7">
        <v>-4.0000000000000001E-3</v>
      </c>
      <c r="M7">
        <v>-1.4</v>
      </c>
      <c r="N7" t="str">
        <f t="shared" si="3"/>
        <v>-</v>
      </c>
      <c r="O7" s="1">
        <v>0.3</v>
      </c>
      <c r="P7">
        <v>7.3</v>
      </c>
      <c r="Q7" t="str">
        <f t="shared" si="4"/>
        <v>-</v>
      </c>
      <c r="R7">
        <v>4.0000000000000001E-3</v>
      </c>
      <c r="S7">
        <v>1.5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-0.56000000000000005</v>
      </c>
      <c r="D8">
        <v>-38.6</v>
      </c>
      <c r="E8" t="str">
        <f t="shared" si="0"/>
        <v>-</v>
      </c>
      <c r="F8">
        <v>-5.3999999999999999E-2</v>
      </c>
      <c r="G8">
        <v>-40.9</v>
      </c>
      <c r="H8" t="str">
        <f t="shared" si="1"/>
        <v>-</v>
      </c>
      <c r="I8" s="1">
        <v>-0.23</v>
      </c>
      <c r="J8">
        <v>-20.399999999999999</v>
      </c>
      <c r="K8" t="str">
        <f t="shared" si="2"/>
        <v>-</v>
      </c>
      <c r="L8">
        <v>-3.9E-2</v>
      </c>
      <c r="M8">
        <v>-32.5</v>
      </c>
      <c r="N8" t="str">
        <f t="shared" si="3"/>
        <v>-</v>
      </c>
      <c r="O8" s="1">
        <v>-0.57999999999999996</v>
      </c>
      <c r="P8">
        <v>-39.200000000000003</v>
      </c>
      <c r="Q8" t="str">
        <f t="shared" si="4"/>
        <v>-</v>
      </c>
      <c r="R8">
        <v>-6.5000000000000002E-2</v>
      </c>
      <c r="S8">
        <v>-43.6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-0.1</v>
      </c>
      <c r="D9">
        <v>-6.9</v>
      </c>
      <c r="E9" t="str">
        <f t="shared" si="0"/>
        <v>-</v>
      </c>
      <c r="F9">
        <v>1.7000000000000001E-2</v>
      </c>
      <c r="G9">
        <v>14.3</v>
      </c>
      <c r="H9" t="str">
        <f t="shared" si="1"/>
        <v>-</v>
      </c>
      <c r="I9" s="1">
        <v>-0.12</v>
      </c>
      <c r="J9">
        <v>-9</v>
      </c>
      <c r="K9" t="str">
        <f t="shared" si="2"/>
        <v>-</v>
      </c>
      <c r="L9">
        <v>6.0000000000000001E-3</v>
      </c>
      <c r="M9">
        <v>5.3</v>
      </c>
      <c r="N9" t="str">
        <f t="shared" si="3"/>
        <v>-</v>
      </c>
      <c r="O9" s="1">
        <v>-0.06</v>
      </c>
      <c r="P9">
        <v>-4.4000000000000004</v>
      </c>
      <c r="Q9" t="str">
        <f t="shared" si="4"/>
        <v>-</v>
      </c>
      <c r="R9">
        <v>5.0000000000000001E-3</v>
      </c>
      <c r="S9">
        <v>4.3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-0.1</v>
      </c>
      <c r="D10">
        <v>-7.9</v>
      </c>
      <c r="E10" t="str">
        <f t="shared" si="0"/>
        <v>-</v>
      </c>
      <c r="F10">
        <v>0.02</v>
      </c>
      <c r="G10">
        <v>20.6</v>
      </c>
      <c r="H10" t="str">
        <f t="shared" si="1"/>
        <v>-</v>
      </c>
      <c r="I10" s="1">
        <v>-0.09</v>
      </c>
      <c r="J10">
        <v>-7.6</v>
      </c>
      <c r="K10" t="str">
        <f t="shared" si="2"/>
        <v>-</v>
      </c>
      <c r="L10">
        <v>3.0000000000000001E-3</v>
      </c>
      <c r="M10">
        <v>2.9</v>
      </c>
      <c r="N10" t="str">
        <f t="shared" si="3"/>
        <v>-</v>
      </c>
      <c r="O10" s="1">
        <v>-0.19</v>
      </c>
      <c r="P10">
        <v>-14.6</v>
      </c>
      <c r="Q10" t="str">
        <f t="shared" si="4"/>
        <v>-</v>
      </c>
      <c r="R10">
        <v>3.0000000000000001E-3</v>
      </c>
      <c r="S10">
        <v>2.8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1.1299999999999999</v>
      </c>
      <c r="D11">
        <v>36.9</v>
      </c>
      <c r="E11" t="str">
        <f t="shared" si="0"/>
        <v>-</v>
      </c>
      <c r="F11">
        <v>2.9000000000000001E-2</v>
      </c>
      <c r="G11">
        <v>12.3</v>
      </c>
      <c r="H11" t="str">
        <f t="shared" si="1"/>
        <v>-</v>
      </c>
      <c r="I11" s="1">
        <v>0.38</v>
      </c>
      <c r="J11">
        <v>10</v>
      </c>
      <c r="K11" t="str">
        <f t="shared" si="2"/>
        <v>-</v>
      </c>
      <c r="L11">
        <v>1.7999999999999999E-2</v>
      </c>
      <c r="M11">
        <v>7.6</v>
      </c>
      <c r="N11" t="str">
        <f t="shared" si="3"/>
        <v>-</v>
      </c>
      <c r="O11" s="1">
        <v>0.18</v>
      </c>
      <c r="P11">
        <v>4.8</v>
      </c>
      <c r="Q11" t="str">
        <f t="shared" si="4"/>
        <v>-</v>
      </c>
      <c r="R11">
        <v>7.0000000000000001E-3</v>
      </c>
      <c r="S11">
        <v>2.9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0.13</v>
      </c>
      <c r="D12">
        <v>11.9</v>
      </c>
      <c r="E12" t="str">
        <f t="shared" si="0"/>
        <v>-</v>
      </c>
      <c r="F12">
        <v>1.0999999999999999E-2</v>
      </c>
      <c r="G12">
        <v>11</v>
      </c>
      <c r="H12" t="str">
        <f t="shared" si="1"/>
        <v>-</v>
      </c>
      <c r="I12" s="1">
        <v>0.45</v>
      </c>
      <c r="J12">
        <v>60.8</v>
      </c>
      <c r="K12" t="str">
        <f t="shared" si="2"/>
        <v>?</v>
      </c>
      <c r="L12">
        <v>4.2999999999999997E-2</v>
      </c>
      <c r="M12">
        <v>46.2</v>
      </c>
      <c r="N12" t="str">
        <f t="shared" si="3"/>
        <v>-</v>
      </c>
      <c r="O12" s="1">
        <v>-0.09</v>
      </c>
      <c r="P12">
        <v>-8.9</v>
      </c>
      <c r="Q12" t="str">
        <f t="shared" si="4"/>
        <v>-</v>
      </c>
      <c r="R12">
        <v>6.0000000000000001E-3</v>
      </c>
      <c r="S12">
        <v>6.6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-0.01</v>
      </c>
      <c r="D13">
        <v>-0.7</v>
      </c>
      <c r="E13" t="str">
        <f t="shared" si="0"/>
        <v>-</v>
      </c>
      <c r="F13">
        <v>-8.0000000000000002E-3</v>
      </c>
      <c r="G13">
        <v>-5.6</v>
      </c>
      <c r="H13" t="str">
        <f t="shared" si="1"/>
        <v>-</v>
      </c>
      <c r="I13" s="1">
        <v>-0.05</v>
      </c>
      <c r="J13">
        <v>-3.9</v>
      </c>
      <c r="K13" t="str">
        <f t="shared" si="2"/>
        <v>-</v>
      </c>
      <c r="L13">
        <v>-8.0000000000000002E-3</v>
      </c>
      <c r="M13">
        <v>-6.6</v>
      </c>
      <c r="N13" t="str">
        <f t="shared" si="3"/>
        <v>-</v>
      </c>
      <c r="O13" s="1">
        <v>-0.01</v>
      </c>
      <c r="P13">
        <v>-0.8</v>
      </c>
      <c r="Q13" t="str">
        <f t="shared" si="4"/>
        <v>-</v>
      </c>
      <c r="R13">
        <v>-5.0000000000000001E-3</v>
      </c>
      <c r="S13">
        <v>-4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-0.11</v>
      </c>
      <c r="D14">
        <v>-9.1</v>
      </c>
      <c r="E14" t="str">
        <f t="shared" si="0"/>
        <v>-</v>
      </c>
      <c r="F14">
        <v>-4.0000000000000001E-3</v>
      </c>
      <c r="G14">
        <v>-3.9</v>
      </c>
      <c r="H14" t="str">
        <f t="shared" si="1"/>
        <v>-</v>
      </c>
      <c r="I14" s="1">
        <v>0.13</v>
      </c>
      <c r="J14">
        <v>12.4</v>
      </c>
      <c r="K14" t="str">
        <f t="shared" si="2"/>
        <v>-</v>
      </c>
      <c r="L14">
        <v>2.7E-2</v>
      </c>
      <c r="M14">
        <v>32.5</v>
      </c>
      <c r="N14" t="str">
        <f t="shared" si="3"/>
        <v>-</v>
      </c>
      <c r="O14" s="1">
        <v>-7.0000000000000007E-2</v>
      </c>
      <c r="P14">
        <v>-5.9</v>
      </c>
      <c r="Q14" t="str">
        <f t="shared" si="4"/>
        <v>-</v>
      </c>
      <c r="R14">
        <v>6.0000000000000001E-3</v>
      </c>
      <c r="S14">
        <v>6.2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0.55000000000000004</v>
      </c>
      <c r="D15">
        <v>15.8</v>
      </c>
      <c r="E15" t="str">
        <f t="shared" si="0"/>
        <v>-</v>
      </c>
      <c r="F15">
        <v>7.0000000000000001E-3</v>
      </c>
      <c r="G15">
        <v>2.9</v>
      </c>
      <c r="H15" t="str">
        <f t="shared" si="1"/>
        <v>-</v>
      </c>
      <c r="I15" s="1">
        <v>0.86</v>
      </c>
      <c r="J15">
        <v>29.3</v>
      </c>
      <c r="K15" t="str">
        <f t="shared" si="2"/>
        <v>-</v>
      </c>
      <c r="L15">
        <v>1.7000000000000001E-2</v>
      </c>
      <c r="M15">
        <v>8.1</v>
      </c>
      <c r="N15" t="str">
        <f t="shared" si="3"/>
        <v>-</v>
      </c>
      <c r="O15" s="1">
        <v>0.95</v>
      </c>
      <c r="P15">
        <v>33</v>
      </c>
      <c r="Q15" t="str">
        <f t="shared" si="4"/>
        <v>-</v>
      </c>
      <c r="R15">
        <v>1.7000000000000001E-2</v>
      </c>
      <c r="S15">
        <v>8.1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-0.03</v>
      </c>
      <c r="D16">
        <v>-3.6</v>
      </c>
      <c r="E16" t="str">
        <f t="shared" si="0"/>
        <v>-</v>
      </c>
      <c r="F16">
        <v>-6.5000000000000002E-2</v>
      </c>
      <c r="G16">
        <v>-56.5</v>
      </c>
      <c r="H16" t="str">
        <f t="shared" si="1"/>
        <v>?</v>
      </c>
      <c r="I16" s="1">
        <v>-0.02</v>
      </c>
      <c r="J16">
        <v>-2.5</v>
      </c>
      <c r="K16" t="str">
        <f t="shared" si="2"/>
        <v>-</v>
      </c>
      <c r="L16">
        <v>-6.4000000000000001E-2</v>
      </c>
      <c r="M16">
        <v>-55.7</v>
      </c>
      <c r="N16" t="str">
        <f t="shared" si="3"/>
        <v>?</v>
      </c>
      <c r="O16" s="1">
        <v>0.01</v>
      </c>
      <c r="P16">
        <v>1.3</v>
      </c>
      <c r="Q16" t="str">
        <f t="shared" si="4"/>
        <v>-</v>
      </c>
      <c r="R16">
        <v>-2.5999999999999999E-2</v>
      </c>
      <c r="S16">
        <v>-33.799999999999997</v>
      </c>
      <c r="T16" s="2" t="str">
        <f t="shared" si="5"/>
        <v>-</v>
      </c>
    </row>
    <row r="17" spans="1:20">
      <c r="A17" s="11" t="s">
        <v>9</v>
      </c>
      <c r="B17" s="12" t="s">
        <v>16</v>
      </c>
      <c r="C17">
        <v>0.18</v>
      </c>
      <c r="D17">
        <v>15</v>
      </c>
      <c r="E17" t="str">
        <f t="shared" si="0"/>
        <v>-</v>
      </c>
      <c r="F17">
        <v>4.0000000000000001E-3</v>
      </c>
      <c r="G17">
        <v>3.1</v>
      </c>
      <c r="H17" t="str">
        <f t="shared" si="1"/>
        <v>-</v>
      </c>
      <c r="I17" s="1">
        <v>0.04</v>
      </c>
      <c r="J17">
        <v>3.6</v>
      </c>
      <c r="K17" t="str">
        <f t="shared" si="2"/>
        <v>-</v>
      </c>
      <c r="L17">
        <v>-1.4E-2</v>
      </c>
      <c r="M17">
        <v>-11.8</v>
      </c>
      <c r="N17" t="str">
        <f t="shared" si="3"/>
        <v>-</v>
      </c>
      <c r="O17" s="1">
        <v>-0.03</v>
      </c>
      <c r="P17">
        <v>-2.6</v>
      </c>
      <c r="Q17" t="str">
        <f t="shared" si="4"/>
        <v>-</v>
      </c>
      <c r="R17">
        <v>-1.2E-2</v>
      </c>
      <c r="S17">
        <v>-10.4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0.03</v>
      </c>
      <c r="D18">
        <v>2.7</v>
      </c>
      <c r="E18" t="str">
        <f t="shared" si="0"/>
        <v>-</v>
      </c>
      <c r="F18">
        <v>1.0999999999999999E-2</v>
      </c>
      <c r="G18">
        <v>11.3</v>
      </c>
      <c r="H18" t="str">
        <f t="shared" si="1"/>
        <v>-</v>
      </c>
      <c r="I18" s="1">
        <v>0.2</v>
      </c>
      <c r="J18">
        <v>23</v>
      </c>
      <c r="K18" t="str">
        <f t="shared" si="2"/>
        <v>-</v>
      </c>
      <c r="L18">
        <v>3.5000000000000003E-2</v>
      </c>
      <c r="M18">
        <v>50</v>
      </c>
      <c r="N18" t="str">
        <f t="shared" si="3"/>
        <v>-</v>
      </c>
      <c r="O18" s="1">
        <v>0.17</v>
      </c>
      <c r="P18">
        <v>19.3</v>
      </c>
      <c r="Q18" t="str">
        <f t="shared" si="4"/>
        <v>-</v>
      </c>
      <c r="R18">
        <v>3.9E-2</v>
      </c>
      <c r="S18">
        <v>60.9</v>
      </c>
      <c r="T18" s="2" t="str">
        <f t="shared" si="5"/>
        <v>?</v>
      </c>
    </row>
    <row r="19" spans="1:20">
      <c r="A19" s="11" t="s">
        <v>12</v>
      </c>
      <c r="B19" s="12" t="s">
        <v>16</v>
      </c>
      <c r="C19">
        <v>0.44</v>
      </c>
      <c r="D19">
        <v>15.8</v>
      </c>
      <c r="E19" t="str">
        <f t="shared" si="0"/>
        <v>-</v>
      </c>
      <c r="F19">
        <v>0.01</v>
      </c>
      <c r="G19">
        <v>5.2</v>
      </c>
      <c r="H19" t="str">
        <f t="shared" si="1"/>
        <v>-</v>
      </c>
      <c r="I19" s="1">
        <v>0.45</v>
      </c>
      <c r="J19">
        <v>16.399999999999999</v>
      </c>
      <c r="K19" t="str">
        <f t="shared" si="2"/>
        <v>-</v>
      </c>
      <c r="L19">
        <v>2.3E-2</v>
      </c>
      <c r="M19">
        <v>13.9</v>
      </c>
      <c r="N19" t="str">
        <f t="shared" si="3"/>
        <v>-</v>
      </c>
      <c r="O19" s="1">
        <v>0.82</v>
      </c>
      <c r="P19">
        <v>34.299999999999997</v>
      </c>
      <c r="Q19" t="str">
        <f t="shared" si="4"/>
        <v>-</v>
      </c>
      <c r="R19">
        <v>2.5000000000000001E-2</v>
      </c>
      <c r="S19">
        <v>15.3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0.15</v>
      </c>
      <c r="D20">
        <v>18.5</v>
      </c>
      <c r="E20" t="str">
        <f t="shared" si="0"/>
        <v>-</v>
      </c>
      <c r="F20">
        <v>-1.7999999999999999E-2</v>
      </c>
      <c r="G20">
        <v>-18.899999999999999</v>
      </c>
      <c r="H20" t="str">
        <f t="shared" si="1"/>
        <v>-</v>
      </c>
      <c r="I20" s="1">
        <v>7.0000000000000007E-2</v>
      </c>
      <c r="J20">
        <v>10.1</v>
      </c>
      <c r="K20" t="str">
        <f t="shared" si="2"/>
        <v>-</v>
      </c>
      <c r="L20">
        <v>-5.2999999999999999E-2</v>
      </c>
      <c r="M20">
        <v>-55.8</v>
      </c>
      <c r="N20" t="str">
        <f t="shared" si="3"/>
        <v>?</v>
      </c>
      <c r="O20" s="1">
        <v>0.28999999999999998</v>
      </c>
      <c r="P20">
        <v>40.799999999999997</v>
      </c>
      <c r="Q20" t="str">
        <f t="shared" si="4"/>
        <v>-</v>
      </c>
      <c r="R20">
        <v>-4.3999999999999997E-2</v>
      </c>
      <c r="S20">
        <v>-45.4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0.17</v>
      </c>
      <c r="D21">
        <v>14.7</v>
      </c>
      <c r="E21" t="str">
        <f t="shared" si="0"/>
        <v>-</v>
      </c>
      <c r="F21">
        <v>8.9999999999999993E-3</v>
      </c>
      <c r="G21">
        <v>8</v>
      </c>
      <c r="H21" t="str">
        <f t="shared" si="1"/>
        <v>-</v>
      </c>
      <c r="I21" s="1">
        <v>0.13</v>
      </c>
      <c r="J21">
        <v>12.4</v>
      </c>
      <c r="K21" t="str">
        <f t="shared" si="2"/>
        <v>-</v>
      </c>
      <c r="L21">
        <v>1.2E-2</v>
      </c>
      <c r="M21">
        <v>13.2</v>
      </c>
      <c r="N21" t="str">
        <f t="shared" si="3"/>
        <v>-</v>
      </c>
      <c r="O21" s="1">
        <v>0.05</v>
      </c>
      <c r="P21">
        <v>4.5999999999999996</v>
      </c>
      <c r="Q21" t="str">
        <f t="shared" si="4"/>
        <v>-</v>
      </c>
      <c r="R21">
        <v>3.0000000000000001E-3</v>
      </c>
      <c r="S21">
        <v>2.9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0.23</v>
      </c>
      <c r="D22">
        <v>23.7</v>
      </c>
      <c r="E22" t="str">
        <f t="shared" si="0"/>
        <v>-</v>
      </c>
      <c r="F22">
        <v>-1.0999999999999999E-2</v>
      </c>
      <c r="G22">
        <v>-9.4</v>
      </c>
      <c r="H22" t="str">
        <f t="shared" si="1"/>
        <v>-</v>
      </c>
      <c r="I22" s="1">
        <v>-0.01</v>
      </c>
      <c r="J22">
        <v>-0.9</v>
      </c>
      <c r="K22" t="str">
        <f t="shared" si="2"/>
        <v>-</v>
      </c>
      <c r="L22">
        <v>-1E-3</v>
      </c>
      <c r="M22">
        <v>-1.1000000000000001</v>
      </c>
      <c r="N22" t="str">
        <f t="shared" si="3"/>
        <v>-</v>
      </c>
      <c r="O22" s="1">
        <v>-7.0000000000000007E-2</v>
      </c>
      <c r="P22">
        <v>-6.7</v>
      </c>
      <c r="Q22" t="str">
        <f t="shared" si="4"/>
        <v>-</v>
      </c>
      <c r="R22">
        <v>-1.2E-2</v>
      </c>
      <c r="S22">
        <v>-11.4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0.52</v>
      </c>
      <c r="D23">
        <v>15.9</v>
      </c>
      <c r="E23" t="str">
        <f t="shared" si="0"/>
        <v>-</v>
      </c>
      <c r="F23">
        <v>7.0000000000000001E-3</v>
      </c>
      <c r="G23">
        <v>3.4</v>
      </c>
      <c r="H23" t="str">
        <f t="shared" si="1"/>
        <v>-</v>
      </c>
      <c r="I23" s="1">
        <v>0.56000000000000005</v>
      </c>
      <c r="J23">
        <v>19.2</v>
      </c>
      <c r="K23" t="str">
        <f t="shared" si="2"/>
        <v>-</v>
      </c>
      <c r="L23">
        <v>4.0000000000000001E-3</v>
      </c>
      <c r="M23">
        <v>2.2000000000000002</v>
      </c>
      <c r="N23" t="str">
        <f t="shared" si="3"/>
        <v>-</v>
      </c>
      <c r="O23" s="1">
        <v>0.59</v>
      </c>
      <c r="P23">
        <v>20.3</v>
      </c>
      <c r="Q23" t="str">
        <f t="shared" si="4"/>
        <v>-</v>
      </c>
      <c r="R23">
        <v>0</v>
      </c>
      <c r="S23">
        <v>0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0.13</v>
      </c>
      <c r="D24">
        <v>19.100000000000001</v>
      </c>
      <c r="E24" t="str">
        <f t="shared" si="0"/>
        <v>-</v>
      </c>
      <c r="F24">
        <v>-1E-3</v>
      </c>
      <c r="G24">
        <v>-1.5</v>
      </c>
      <c r="H24" t="str">
        <f t="shared" si="1"/>
        <v>-</v>
      </c>
      <c r="I24" s="1">
        <v>-0.06</v>
      </c>
      <c r="J24">
        <v>-7.9</v>
      </c>
      <c r="K24" t="str">
        <f t="shared" si="2"/>
        <v>-</v>
      </c>
      <c r="L24">
        <v>-5.3999999999999999E-2</v>
      </c>
      <c r="M24">
        <v>-54.5</v>
      </c>
      <c r="N24" t="str">
        <f t="shared" si="3"/>
        <v>?</v>
      </c>
      <c r="O24" s="1">
        <v>0.15</v>
      </c>
      <c r="P24">
        <v>22.7</v>
      </c>
      <c r="Q24" t="str">
        <f t="shared" si="4"/>
        <v>-</v>
      </c>
      <c r="R24">
        <v>-2.1000000000000001E-2</v>
      </c>
      <c r="S24">
        <v>-25.9</v>
      </c>
      <c r="T24" s="2" t="str">
        <f t="shared" si="5"/>
        <v>-</v>
      </c>
    </row>
    <row r="25" spans="1:20">
      <c r="A25" s="11" t="s">
        <v>9</v>
      </c>
      <c r="B25" s="12" t="s">
        <v>18</v>
      </c>
      <c r="C25">
        <v>-0.49</v>
      </c>
      <c r="D25">
        <v>-28.5</v>
      </c>
      <c r="E25" t="str">
        <f t="shared" si="0"/>
        <v>-</v>
      </c>
      <c r="F25">
        <v>-8.9999999999999993E-3</v>
      </c>
      <c r="G25">
        <v>-7.1</v>
      </c>
      <c r="H25" t="str">
        <f t="shared" si="1"/>
        <v>-</v>
      </c>
      <c r="I25" s="1">
        <v>-0.27</v>
      </c>
      <c r="J25">
        <v>-17.600000000000001</v>
      </c>
      <c r="K25" t="str">
        <f t="shared" si="2"/>
        <v>-</v>
      </c>
      <c r="L25">
        <v>1.2E-2</v>
      </c>
      <c r="M25">
        <v>11</v>
      </c>
      <c r="N25" t="str">
        <f t="shared" si="3"/>
        <v>-</v>
      </c>
      <c r="O25" s="1">
        <v>-0.45</v>
      </c>
      <c r="P25">
        <v>-26.9</v>
      </c>
      <c r="Q25" t="str">
        <f t="shared" si="4"/>
        <v>-</v>
      </c>
      <c r="R25">
        <v>8.9999999999999993E-3</v>
      </c>
      <c r="S25">
        <v>7.9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0.21</v>
      </c>
      <c r="D26">
        <v>16.8</v>
      </c>
      <c r="E26" t="str">
        <f t="shared" si="0"/>
        <v>-</v>
      </c>
      <c r="F26">
        <v>1.0999999999999999E-2</v>
      </c>
      <c r="G26">
        <v>10.3</v>
      </c>
      <c r="H26" t="str">
        <f t="shared" si="1"/>
        <v>-</v>
      </c>
      <c r="I26" s="1">
        <v>-0.4</v>
      </c>
      <c r="J26">
        <v>-30.8</v>
      </c>
      <c r="K26" t="str">
        <f t="shared" si="2"/>
        <v>-</v>
      </c>
      <c r="L26">
        <v>-2.9000000000000001E-2</v>
      </c>
      <c r="M26">
        <v>-25.7</v>
      </c>
      <c r="N26" t="str">
        <f t="shared" si="3"/>
        <v>-</v>
      </c>
      <c r="O26" s="1">
        <v>-0.01</v>
      </c>
      <c r="P26">
        <v>-0.8</v>
      </c>
      <c r="Q26" t="str">
        <f t="shared" si="4"/>
        <v>-</v>
      </c>
      <c r="R26">
        <v>0.01</v>
      </c>
      <c r="S26">
        <v>9.3000000000000007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-0.24</v>
      </c>
      <c r="D27">
        <v>-8.1</v>
      </c>
      <c r="E27" t="str">
        <f t="shared" si="0"/>
        <v>-</v>
      </c>
      <c r="F27">
        <v>0.03</v>
      </c>
      <c r="G27">
        <v>19.100000000000001</v>
      </c>
      <c r="H27" t="str">
        <f t="shared" si="1"/>
        <v>-</v>
      </c>
      <c r="I27" s="1">
        <v>-0.84</v>
      </c>
      <c r="J27">
        <v>-25.5</v>
      </c>
      <c r="K27" t="str">
        <f t="shared" si="2"/>
        <v>-</v>
      </c>
      <c r="L27">
        <v>1.2E-2</v>
      </c>
      <c r="M27">
        <v>8.1</v>
      </c>
      <c r="N27" t="str">
        <f t="shared" si="3"/>
        <v>-</v>
      </c>
      <c r="O27" s="1">
        <v>-1.33</v>
      </c>
      <c r="P27">
        <v>-37</v>
      </c>
      <c r="Q27" t="str">
        <f t="shared" si="4"/>
        <v>-</v>
      </c>
      <c r="R27">
        <v>1.6E-2</v>
      </c>
      <c r="S27">
        <v>11.4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0.16</v>
      </c>
      <c r="D28">
        <v>21.9</v>
      </c>
      <c r="E28" t="str">
        <f t="shared" si="0"/>
        <v>-</v>
      </c>
      <c r="F28">
        <v>-5.0000000000000001E-3</v>
      </c>
      <c r="G28">
        <v>-5.8</v>
      </c>
      <c r="H28" t="str">
        <f t="shared" si="1"/>
        <v>-</v>
      </c>
      <c r="I28" s="1">
        <v>0.31</v>
      </c>
      <c r="J28">
        <v>43.7</v>
      </c>
      <c r="K28" t="str">
        <f t="shared" si="2"/>
        <v>-</v>
      </c>
      <c r="L28">
        <v>4.1000000000000002E-2</v>
      </c>
      <c r="M28">
        <v>54.7</v>
      </c>
      <c r="N28" t="str">
        <f t="shared" si="3"/>
        <v>?</v>
      </c>
      <c r="O28" s="1">
        <v>0.22</v>
      </c>
      <c r="P28">
        <v>29.3</v>
      </c>
      <c r="Q28" t="str">
        <f t="shared" si="4"/>
        <v>-</v>
      </c>
      <c r="R28">
        <v>2.1999999999999999E-2</v>
      </c>
      <c r="S28">
        <v>24.4</v>
      </c>
      <c r="T28" s="2" t="str">
        <f t="shared" si="5"/>
        <v>-</v>
      </c>
    </row>
    <row r="29" spans="1:20">
      <c r="A29" s="11" t="s">
        <v>9</v>
      </c>
      <c r="B29" s="13">
        <v>0.4</v>
      </c>
      <c r="C29">
        <v>0.08</v>
      </c>
      <c r="D29">
        <v>7.1</v>
      </c>
      <c r="E29" t="str">
        <f t="shared" si="0"/>
        <v>-</v>
      </c>
      <c r="F29">
        <v>1.7000000000000001E-2</v>
      </c>
      <c r="G29">
        <v>16.3</v>
      </c>
      <c r="H29" t="str">
        <f t="shared" si="1"/>
        <v>-</v>
      </c>
      <c r="I29" s="1">
        <v>-0.08</v>
      </c>
      <c r="J29">
        <v>-7.5</v>
      </c>
      <c r="K29" t="str">
        <f t="shared" si="2"/>
        <v>-</v>
      </c>
      <c r="L29">
        <v>-4.0000000000000001E-3</v>
      </c>
      <c r="M29">
        <v>-4.4000000000000004</v>
      </c>
      <c r="N29" t="str">
        <f t="shared" si="3"/>
        <v>-</v>
      </c>
      <c r="O29" s="1">
        <v>0.11</v>
      </c>
      <c r="P29">
        <v>12</v>
      </c>
      <c r="Q29" t="str">
        <f t="shared" si="4"/>
        <v>-</v>
      </c>
      <c r="R29">
        <v>-7.0000000000000001E-3</v>
      </c>
      <c r="S29">
        <v>-7.4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0.17</v>
      </c>
      <c r="D30">
        <v>14.7</v>
      </c>
      <c r="E30" t="str">
        <f t="shared" si="0"/>
        <v>-</v>
      </c>
      <c r="F30">
        <v>7.0000000000000001E-3</v>
      </c>
      <c r="G30">
        <v>5.6</v>
      </c>
      <c r="H30" t="str">
        <f t="shared" si="1"/>
        <v>-</v>
      </c>
      <c r="I30" s="1">
        <v>-0.1</v>
      </c>
      <c r="J30">
        <v>-10.3</v>
      </c>
      <c r="K30" t="str">
        <f t="shared" si="2"/>
        <v>-</v>
      </c>
      <c r="L30">
        <v>2E-3</v>
      </c>
      <c r="M30">
        <v>2.2999999999999998</v>
      </c>
      <c r="N30" t="str">
        <f t="shared" si="3"/>
        <v>-</v>
      </c>
      <c r="O30" s="1">
        <v>-0.09</v>
      </c>
      <c r="P30">
        <v>-8.3000000000000007</v>
      </c>
      <c r="Q30" t="str">
        <f t="shared" si="4"/>
        <v>-</v>
      </c>
      <c r="R30">
        <v>-1.9E-2</v>
      </c>
      <c r="S30">
        <v>-18.3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0.32</v>
      </c>
      <c r="D31">
        <v>17.7</v>
      </c>
      <c r="E31" t="str">
        <f t="shared" si="0"/>
        <v>-</v>
      </c>
      <c r="F31">
        <v>1.4E-2</v>
      </c>
      <c r="G31">
        <v>9</v>
      </c>
      <c r="H31" t="str">
        <f t="shared" si="1"/>
        <v>-</v>
      </c>
      <c r="I31" s="1">
        <v>0.16</v>
      </c>
      <c r="J31">
        <v>9.1</v>
      </c>
      <c r="K31" t="str">
        <f t="shared" si="2"/>
        <v>-</v>
      </c>
      <c r="L31">
        <v>0</v>
      </c>
      <c r="M31">
        <v>0</v>
      </c>
      <c r="N31" t="str">
        <f t="shared" si="3"/>
        <v>-</v>
      </c>
      <c r="O31" s="1">
        <v>0.68</v>
      </c>
      <c r="P31">
        <v>48.2</v>
      </c>
      <c r="Q31" t="str">
        <f t="shared" si="4"/>
        <v>-</v>
      </c>
      <c r="R31">
        <v>1.7000000000000001E-2</v>
      </c>
      <c r="S31">
        <v>15.9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0.33</v>
      </c>
      <c r="D32">
        <v>32.700000000000003</v>
      </c>
      <c r="E32" t="str">
        <f t="shared" si="0"/>
        <v>-</v>
      </c>
      <c r="F32">
        <v>1.2E-2</v>
      </c>
      <c r="G32">
        <v>10.1</v>
      </c>
      <c r="H32" t="str">
        <f t="shared" si="1"/>
        <v>-</v>
      </c>
      <c r="I32" s="1">
        <v>-0.12</v>
      </c>
      <c r="J32">
        <v>-15.2</v>
      </c>
      <c r="K32" t="str">
        <f t="shared" si="2"/>
        <v>-</v>
      </c>
      <c r="L32">
        <v>-1.2999999999999999E-2</v>
      </c>
      <c r="M32">
        <v>-16.7</v>
      </c>
      <c r="N32" t="str">
        <f t="shared" si="3"/>
        <v>-</v>
      </c>
      <c r="O32" s="1">
        <v>0.08</v>
      </c>
      <c r="P32">
        <v>9.5</v>
      </c>
      <c r="Q32" t="str">
        <f t="shared" si="4"/>
        <v>-</v>
      </c>
      <c r="R32">
        <v>2.5000000000000001E-2</v>
      </c>
      <c r="S32">
        <v>34.200000000000003</v>
      </c>
      <c r="T32" s="2" t="str">
        <f t="shared" si="5"/>
        <v>-</v>
      </c>
    </row>
    <row r="33" spans="1:20">
      <c r="A33" s="11" t="s">
        <v>9</v>
      </c>
      <c r="B33" s="13">
        <v>0.5</v>
      </c>
      <c r="C33">
        <v>0.19</v>
      </c>
      <c r="D33">
        <v>17.399999999999999</v>
      </c>
      <c r="E33" t="str">
        <f t="shared" si="0"/>
        <v>-</v>
      </c>
      <c r="F33">
        <v>1.4999999999999999E-2</v>
      </c>
      <c r="G33">
        <v>14.4</v>
      </c>
      <c r="H33" t="str">
        <f t="shared" si="1"/>
        <v>-</v>
      </c>
      <c r="I33" s="1">
        <v>0.02</v>
      </c>
      <c r="J33">
        <v>1.7</v>
      </c>
      <c r="K33" t="str">
        <f t="shared" si="2"/>
        <v>-</v>
      </c>
      <c r="L33">
        <v>1.0999999999999999E-2</v>
      </c>
      <c r="M33">
        <v>11</v>
      </c>
      <c r="N33" t="str">
        <f t="shared" si="3"/>
        <v>-</v>
      </c>
      <c r="O33" s="1">
        <v>-0.04</v>
      </c>
      <c r="P33">
        <v>-3.8</v>
      </c>
      <c r="Q33" t="str">
        <f t="shared" si="4"/>
        <v>-</v>
      </c>
      <c r="R33">
        <v>-1.4E-2</v>
      </c>
      <c r="S33">
        <v>-13.5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0.36</v>
      </c>
      <c r="D34">
        <v>37.1</v>
      </c>
      <c r="E34" t="str">
        <f t="shared" si="0"/>
        <v>-</v>
      </c>
      <c r="F34">
        <v>2.4E-2</v>
      </c>
      <c r="G34">
        <v>24.5</v>
      </c>
      <c r="H34" t="str">
        <f t="shared" si="1"/>
        <v>-</v>
      </c>
      <c r="I34" s="1">
        <v>0</v>
      </c>
      <c r="J34">
        <v>0</v>
      </c>
      <c r="K34" t="str">
        <f t="shared" si="2"/>
        <v>-</v>
      </c>
      <c r="L34">
        <v>-4.0000000000000001E-3</v>
      </c>
      <c r="M34">
        <v>-4.5</v>
      </c>
      <c r="N34" t="str">
        <f t="shared" si="3"/>
        <v>-</v>
      </c>
      <c r="O34" s="1">
        <v>0.08</v>
      </c>
      <c r="P34">
        <v>9.5</v>
      </c>
      <c r="Q34" t="str">
        <f t="shared" si="4"/>
        <v>-</v>
      </c>
      <c r="R34">
        <v>1E-3</v>
      </c>
      <c r="S34">
        <v>1.2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0.17</v>
      </c>
      <c r="D35">
        <v>7</v>
      </c>
      <c r="E35" t="str">
        <f t="shared" si="0"/>
        <v>-</v>
      </c>
      <c r="F35">
        <v>0</v>
      </c>
      <c r="G35">
        <v>0</v>
      </c>
      <c r="H35" t="str">
        <f t="shared" si="1"/>
        <v>-</v>
      </c>
      <c r="I35" s="1">
        <v>0.63</v>
      </c>
      <c r="J35">
        <v>27.8</v>
      </c>
      <c r="K35" t="str">
        <f t="shared" si="2"/>
        <v>-</v>
      </c>
      <c r="L35">
        <v>-6.0000000000000001E-3</v>
      </c>
      <c r="M35">
        <v>-4.0999999999999996</v>
      </c>
      <c r="N35" t="str">
        <f t="shared" si="3"/>
        <v>-</v>
      </c>
      <c r="O35" s="1">
        <v>1.1299999999999999</v>
      </c>
      <c r="P35">
        <v>55.1</v>
      </c>
      <c r="Q35" t="str">
        <f t="shared" si="4"/>
        <v>?</v>
      </c>
      <c r="R35">
        <v>8.9999999999999993E-3</v>
      </c>
      <c r="S35">
        <v>6.5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0.02</v>
      </c>
      <c r="D36">
        <v>2</v>
      </c>
      <c r="E36" t="str">
        <f t="shared" si="0"/>
        <v>-</v>
      </c>
      <c r="F36">
        <v>8.9999999999999993E-3</v>
      </c>
      <c r="G36">
        <v>8.4</v>
      </c>
      <c r="H36" t="str">
        <f t="shared" si="1"/>
        <v>-</v>
      </c>
      <c r="I36" s="1">
        <v>0.18</v>
      </c>
      <c r="J36">
        <v>27.7</v>
      </c>
      <c r="K36" t="str">
        <f t="shared" si="2"/>
        <v>-</v>
      </c>
      <c r="L36">
        <v>-2.4E-2</v>
      </c>
      <c r="M36">
        <v>-28.9</v>
      </c>
      <c r="N36" t="str">
        <f t="shared" si="3"/>
        <v>-</v>
      </c>
      <c r="O36" s="1">
        <v>0.34</v>
      </c>
      <c r="P36">
        <v>47.2</v>
      </c>
      <c r="Q36" t="str">
        <f t="shared" si="4"/>
        <v>-</v>
      </c>
      <c r="R36">
        <v>4.9000000000000002E-2</v>
      </c>
      <c r="S36">
        <v>58.3</v>
      </c>
      <c r="T36" s="2" t="str">
        <f t="shared" si="5"/>
        <v>?</v>
      </c>
    </row>
    <row r="37" spans="1:20">
      <c r="A37" s="11" t="s">
        <v>9</v>
      </c>
      <c r="B37" s="13">
        <v>0.6</v>
      </c>
      <c r="C37">
        <v>0.28000000000000003</v>
      </c>
      <c r="D37">
        <v>27.2</v>
      </c>
      <c r="E37" t="str">
        <f t="shared" si="0"/>
        <v>-</v>
      </c>
      <c r="F37">
        <v>7.0000000000000001E-3</v>
      </c>
      <c r="G37">
        <v>6.1</v>
      </c>
      <c r="H37" t="str">
        <f t="shared" si="1"/>
        <v>-</v>
      </c>
      <c r="I37" s="1">
        <v>0.16</v>
      </c>
      <c r="J37">
        <v>14.5</v>
      </c>
      <c r="K37" t="str">
        <f t="shared" si="2"/>
        <v>-</v>
      </c>
      <c r="L37">
        <v>1.4E-2</v>
      </c>
      <c r="M37">
        <v>13.5</v>
      </c>
      <c r="N37" t="str">
        <f t="shared" si="3"/>
        <v>-</v>
      </c>
      <c r="O37" s="1">
        <v>0.14000000000000001</v>
      </c>
      <c r="P37">
        <v>12.7</v>
      </c>
      <c r="Q37" t="str">
        <f t="shared" si="4"/>
        <v>-</v>
      </c>
      <c r="R37">
        <v>-3.0000000000000001E-3</v>
      </c>
      <c r="S37">
        <v>-2.7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0.08</v>
      </c>
      <c r="D38">
        <v>7.8</v>
      </c>
      <c r="E38" t="str">
        <f t="shared" si="0"/>
        <v>-</v>
      </c>
      <c r="F38">
        <v>0</v>
      </c>
      <c r="G38">
        <v>0</v>
      </c>
      <c r="H38" t="str">
        <f t="shared" si="1"/>
        <v>-</v>
      </c>
      <c r="I38" s="1">
        <v>0.26</v>
      </c>
      <c r="J38">
        <v>31</v>
      </c>
      <c r="K38" t="str">
        <f t="shared" si="2"/>
        <v>-</v>
      </c>
      <c r="L38">
        <v>1.7000000000000001E-2</v>
      </c>
      <c r="M38">
        <v>21.5</v>
      </c>
      <c r="N38" t="str">
        <f t="shared" si="3"/>
        <v>-</v>
      </c>
      <c r="O38" s="1">
        <v>0.26</v>
      </c>
      <c r="P38">
        <v>30.6</v>
      </c>
      <c r="Q38" t="str">
        <f t="shared" si="4"/>
        <v>-</v>
      </c>
      <c r="R38">
        <v>0.02</v>
      </c>
      <c r="S38">
        <v>23.8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0.34</v>
      </c>
      <c r="D39">
        <v>11.3</v>
      </c>
      <c r="E39" t="str">
        <f t="shared" si="0"/>
        <v>-</v>
      </c>
      <c r="F39">
        <v>1.4E-2</v>
      </c>
      <c r="G39">
        <v>7.4</v>
      </c>
      <c r="H39" t="str">
        <f t="shared" si="1"/>
        <v>-</v>
      </c>
      <c r="I39" s="1">
        <v>0.42</v>
      </c>
      <c r="J39">
        <v>15.7</v>
      </c>
      <c r="K39" t="str">
        <f t="shared" si="2"/>
        <v>-</v>
      </c>
      <c r="L39">
        <v>2E-3</v>
      </c>
      <c r="M39">
        <v>1.3</v>
      </c>
      <c r="N39" t="str">
        <f t="shared" si="3"/>
        <v>-</v>
      </c>
      <c r="O39" s="1">
        <v>0.47</v>
      </c>
      <c r="P39">
        <v>17</v>
      </c>
      <c r="Q39" t="str">
        <f t="shared" si="4"/>
        <v>-</v>
      </c>
      <c r="R39">
        <v>1.2E-2</v>
      </c>
      <c r="S39">
        <v>7.7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0.36</v>
      </c>
      <c r="D40">
        <v>39.6</v>
      </c>
      <c r="E40" t="str">
        <f t="shared" si="0"/>
        <v>-</v>
      </c>
      <c r="F40">
        <v>1.4E-2</v>
      </c>
      <c r="G40">
        <v>11.9</v>
      </c>
      <c r="H40" t="str">
        <f t="shared" si="1"/>
        <v>-</v>
      </c>
      <c r="I40" s="1">
        <v>0.13</v>
      </c>
      <c r="J40">
        <v>17.100000000000001</v>
      </c>
      <c r="K40" t="str">
        <f t="shared" si="2"/>
        <v>-</v>
      </c>
      <c r="L40">
        <v>-0.05</v>
      </c>
      <c r="M40">
        <v>-42.4</v>
      </c>
      <c r="N40" t="str">
        <f t="shared" si="3"/>
        <v>-</v>
      </c>
      <c r="O40" s="1">
        <v>0.3</v>
      </c>
      <c r="P40">
        <v>44.1</v>
      </c>
      <c r="Q40" t="str">
        <f t="shared" si="4"/>
        <v>-</v>
      </c>
      <c r="R40">
        <v>-6.0000000000000001E-3</v>
      </c>
      <c r="S40">
        <v>-10.7</v>
      </c>
      <c r="T40" s="2" t="str">
        <f t="shared" si="5"/>
        <v>-</v>
      </c>
    </row>
    <row r="41" spans="1:20">
      <c r="A41" s="11" t="s">
        <v>9</v>
      </c>
      <c r="B41" s="13">
        <v>0.7</v>
      </c>
      <c r="C41">
        <v>0.18</v>
      </c>
      <c r="D41">
        <v>15.3</v>
      </c>
      <c r="E41" t="str">
        <f t="shared" si="0"/>
        <v>-</v>
      </c>
      <c r="F41">
        <v>2.3E-2</v>
      </c>
      <c r="G41">
        <v>20.399999999999999</v>
      </c>
      <c r="H41" t="str">
        <f t="shared" si="1"/>
        <v>-</v>
      </c>
      <c r="I41" s="1">
        <v>0.13</v>
      </c>
      <c r="J41">
        <v>10.6</v>
      </c>
      <c r="K41" t="str">
        <f t="shared" si="2"/>
        <v>-</v>
      </c>
      <c r="L41">
        <v>8.0000000000000002E-3</v>
      </c>
      <c r="M41">
        <v>6.8</v>
      </c>
      <c r="N41" t="str">
        <f t="shared" si="3"/>
        <v>-</v>
      </c>
      <c r="O41" s="1">
        <v>0.13</v>
      </c>
      <c r="P41">
        <v>10.5</v>
      </c>
      <c r="Q41" t="str">
        <f t="shared" si="4"/>
        <v>-</v>
      </c>
      <c r="R41">
        <v>5.0000000000000001E-3</v>
      </c>
      <c r="S41">
        <v>4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0.15</v>
      </c>
      <c r="D42">
        <v>15</v>
      </c>
      <c r="E42" t="str">
        <f t="shared" si="0"/>
        <v>-</v>
      </c>
      <c r="F42">
        <v>1.2E-2</v>
      </c>
      <c r="G42">
        <v>12.9</v>
      </c>
      <c r="H42" t="str">
        <f t="shared" si="1"/>
        <v>-</v>
      </c>
      <c r="I42" s="1">
        <v>0.23</v>
      </c>
      <c r="J42">
        <v>27.4</v>
      </c>
      <c r="K42" t="str">
        <f t="shared" si="2"/>
        <v>-</v>
      </c>
      <c r="L42">
        <v>1.6E-2</v>
      </c>
      <c r="M42">
        <v>20.3</v>
      </c>
      <c r="N42" t="str">
        <f t="shared" si="3"/>
        <v>-</v>
      </c>
      <c r="O42" s="1">
        <v>0.05</v>
      </c>
      <c r="P42">
        <v>4.7</v>
      </c>
      <c r="Q42" t="str">
        <f t="shared" si="4"/>
        <v>-</v>
      </c>
      <c r="R42">
        <v>1.6E-2</v>
      </c>
      <c r="S42">
        <v>17.8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0.87</v>
      </c>
      <c r="D43">
        <v>26.2</v>
      </c>
      <c r="E43" t="str">
        <f t="shared" si="0"/>
        <v>-</v>
      </c>
      <c r="F43">
        <v>2.5999999999999999E-2</v>
      </c>
      <c r="G43">
        <v>12.5</v>
      </c>
      <c r="H43" t="str">
        <f t="shared" si="1"/>
        <v>-</v>
      </c>
      <c r="I43" s="1">
        <v>0.2</v>
      </c>
      <c r="J43">
        <v>5.5</v>
      </c>
      <c r="K43" t="str">
        <f t="shared" si="2"/>
        <v>-</v>
      </c>
      <c r="L43">
        <v>7.0000000000000001E-3</v>
      </c>
      <c r="M43">
        <v>3.2</v>
      </c>
      <c r="N43" t="str">
        <f t="shared" si="3"/>
        <v>-</v>
      </c>
      <c r="O43" s="1">
        <v>0.18</v>
      </c>
      <c r="P43">
        <v>4.9000000000000004</v>
      </c>
      <c r="Q43" t="str">
        <f t="shared" si="4"/>
        <v>-</v>
      </c>
      <c r="R43">
        <v>1.2999999999999999E-2</v>
      </c>
      <c r="S43">
        <v>6.1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0.04</v>
      </c>
      <c r="D44">
        <v>5.6</v>
      </c>
      <c r="E44" t="str">
        <f t="shared" si="0"/>
        <v>-</v>
      </c>
      <c r="F44">
        <v>-8.0000000000000002E-3</v>
      </c>
      <c r="G44">
        <v>-10.3</v>
      </c>
      <c r="H44" t="str">
        <f t="shared" si="1"/>
        <v>-</v>
      </c>
      <c r="I44" s="1">
        <v>0.52</v>
      </c>
      <c r="J44">
        <v>77.599999999999994</v>
      </c>
      <c r="K44" t="str">
        <f t="shared" si="2"/>
        <v>?</v>
      </c>
      <c r="L44">
        <v>-4.0000000000000001E-3</v>
      </c>
      <c r="M44">
        <v>-5.3</v>
      </c>
      <c r="N44" t="str">
        <f t="shared" si="3"/>
        <v>-</v>
      </c>
      <c r="O44" s="1">
        <v>0.47</v>
      </c>
      <c r="P44">
        <v>68.099999999999994</v>
      </c>
      <c r="Q44" t="str">
        <f t="shared" si="4"/>
        <v>?</v>
      </c>
      <c r="R44">
        <v>6.0000000000000001E-3</v>
      </c>
      <c r="S44">
        <v>10.7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-0.51</v>
      </c>
      <c r="D45">
        <v>-27.3</v>
      </c>
      <c r="E45" t="str">
        <f t="shared" si="0"/>
        <v>-</v>
      </c>
      <c r="F45">
        <v>2E-3</v>
      </c>
      <c r="G45">
        <v>1.3</v>
      </c>
      <c r="H45" t="str">
        <f t="shared" si="1"/>
        <v>-</v>
      </c>
      <c r="I45" s="1">
        <v>-0.95</v>
      </c>
      <c r="J45">
        <v>-31.3</v>
      </c>
      <c r="K45" t="str">
        <f t="shared" si="2"/>
        <v>-</v>
      </c>
      <c r="L45">
        <v>-3.0000000000000001E-3</v>
      </c>
      <c r="M45">
        <v>-1.9</v>
      </c>
      <c r="N45" t="str">
        <f t="shared" si="3"/>
        <v>-</v>
      </c>
      <c r="O45" s="1">
        <v>-0.78</v>
      </c>
      <c r="P45">
        <v>-23.1</v>
      </c>
      <c r="Q45" t="str">
        <f t="shared" si="4"/>
        <v>-</v>
      </c>
      <c r="R45">
        <v>0.02</v>
      </c>
      <c r="S45">
        <v>13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-0.88</v>
      </c>
      <c r="D46">
        <v>-38.299999999999997</v>
      </c>
      <c r="E46" t="str">
        <f t="shared" si="0"/>
        <v>-</v>
      </c>
      <c r="F46">
        <v>-2.3E-2</v>
      </c>
      <c r="G46">
        <v>-19.3</v>
      </c>
      <c r="H46" t="str">
        <f t="shared" si="1"/>
        <v>-</v>
      </c>
      <c r="I46" s="1">
        <v>-2.48</v>
      </c>
      <c r="J46">
        <v>-49.4</v>
      </c>
      <c r="K46" t="str">
        <f t="shared" si="2"/>
        <v>-</v>
      </c>
      <c r="L46">
        <v>-5.0000000000000001E-3</v>
      </c>
      <c r="M46">
        <v>-2.2999999999999998</v>
      </c>
      <c r="N46" t="str">
        <f t="shared" si="3"/>
        <v>-</v>
      </c>
      <c r="O46" s="1">
        <v>-2.78</v>
      </c>
      <c r="P46">
        <v>-51.5</v>
      </c>
      <c r="Q46" t="str">
        <f t="shared" si="4"/>
        <v>?</v>
      </c>
      <c r="R46">
        <v>-1.7000000000000001E-2</v>
      </c>
      <c r="S46">
        <v>-7.3</v>
      </c>
      <c r="T46" s="2" t="str">
        <f t="shared" si="5"/>
        <v>-</v>
      </c>
    </row>
    <row r="47" spans="1:20">
      <c r="A47" s="11" t="s">
        <v>12</v>
      </c>
      <c r="B47" s="13">
        <v>0.8</v>
      </c>
      <c r="C47">
        <v>-0.54</v>
      </c>
      <c r="D47">
        <v>-10.7</v>
      </c>
      <c r="E47" t="str">
        <f t="shared" si="0"/>
        <v>-</v>
      </c>
      <c r="F47">
        <v>1.4999999999999999E-2</v>
      </c>
      <c r="G47">
        <v>6.5</v>
      </c>
      <c r="H47" t="str">
        <f t="shared" si="1"/>
        <v>-</v>
      </c>
      <c r="I47" s="1">
        <v>0.19</v>
      </c>
      <c r="J47">
        <v>2.8</v>
      </c>
      <c r="K47" t="str">
        <f t="shared" si="2"/>
        <v>-</v>
      </c>
      <c r="L47">
        <v>-1.7999999999999999E-2</v>
      </c>
      <c r="M47">
        <v>-7.1</v>
      </c>
      <c r="N47" t="str">
        <f t="shared" si="3"/>
        <v>-</v>
      </c>
      <c r="O47" s="1">
        <v>0.51</v>
      </c>
      <c r="P47">
        <v>7.2</v>
      </c>
      <c r="Q47" t="str">
        <f t="shared" si="4"/>
        <v>-</v>
      </c>
      <c r="R47">
        <v>-3.0000000000000001E-3</v>
      </c>
      <c r="S47">
        <v>-1.2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1.5</v>
      </c>
      <c r="D48">
        <v>37.299999999999997</v>
      </c>
      <c r="E48" t="str">
        <f t="shared" si="0"/>
        <v>-</v>
      </c>
      <c r="F48">
        <v>5.5E-2</v>
      </c>
      <c r="G48">
        <v>70.5</v>
      </c>
      <c r="H48" t="str">
        <f t="shared" si="1"/>
        <v>?</v>
      </c>
      <c r="I48" s="1">
        <v>2.65</v>
      </c>
      <c r="J48">
        <v>52.2</v>
      </c>
      <c r="K48" t="str">
        <f t="shared" si="2"/>
        <v>?</v>
      </c>
      <c r="L48">
        <v>0.17299999999999999</v>
      </c>
      <c r="M48">
        <v>219</v>
      </c>
      <c r="N48" t="str">
        <f t="shared" si="3"/>
        <v>?</v>
      </c>
      <c r="O48" s="1">
        <v>2.98</v>
      </c>
      <c r="P48">
        <v>59.5</v>
      </c>
      <c r="Q48" t="str">
        <f t="shared" si="4"/>
        <v>?</v>
      </c>
      <c r="R48">
        <v>0.156</v>
      </c>
      <c r="S48">
        <v>185.7</v>
      </c>
      <c r="T48" s="2" t="str">
        <f t="shared" si="5"/>
        <v>?</v>
      </c>
    </row>
    <row r="49" spans="1:20">
      <c r="A49" s="11" t="s">
        <v>9</v>
      </c>
      <c r="B49" s="13">
        <v>0.9</v>
      </c>
      <c r="C49">
        <v>4.7</v>
      </c>
      <c r="D49">
        <v>55.6</v>
      </c>
      <c r="E49" t="str">
        <f t="shared" si="0"/>
        <v>?</v>
      </c>
      <c r="F49">
        <v>0.42599999999999999</v>
      </c>
      <c r="G49">
        <v>182.8</v>
      </c>
      <c r="H49" t="str">
        <f t="shared" si="1"/>
        <v>?</v>
      </c>
      <c r="I49" s="1">
        <v>6.11</v>
      </c>
      <c r="J49">
        <v>76.7</v>
      </c>
      <c r="K49" t="str">
        <f t="shared" si="2"/>
        <v>?</v>
      </c>
      <c r="L49">
        <v>0.41299999999999998</v>
      </c>
      <c r="M49">
        <v>192.1</v>
      </c>
      <c r="N49" t="str">
        <f t="shared" si="3"/>
        <v>?</v>
      </c>
      <c r="O49" s="1">
        <v>6</v>
      </c>
      <c r="P49">
        <v>74.8</v>
      </c>
      <c r="Q49" t="str">
        <f t="shared" si="4"/>
        <v>?</v>
      </c>
      <c r="R49">
        <v>0.41399999999999998</v>
      </c>
      <c r="S49">
        <v>191.7</v>
      </c>
      <c r="T49" s="2" t="str">
        <f t="shared" si="5"/>
        <v>?</v>
      </c>
    </row>
    <row r="50" spans="1:20">
      <c r="A50" s="11" t="s">
        <v>11</v>
      </c>
      <c r="B50" s="13">
        <v>0.9</v>
      </c>
      <c r="C50">
        <v>3.58</v>
      </c>
      <c r="D50">
        <v>38.799999999999997</v>
      </c>
      <c r="E50" t="str">
        <f t="shared" si="0"/>
        <v>-</v>
      </c>
      <c r="F50">
        <v>0.215</v>
      </c>
      <c r="G50">
        <v>93.5</v>
      </c>
      <c r="H50" t="str">
        <f t="shared" si="1"/>
        <v>?</v>
      </c>
      <c r="I50" s="1">
        <v>2.6</v>
      </c>
      <c r="J50">
        <v>27.4</v>
      </c>
      <c r="K50" t="str">
        <f t="shared" si="2"/>
        <v>-</v>
      </c>
      <c r="L50">
        <v>0.36699999999999999</v>
      </c>
      <c r="M50">
        <v>173.9</v>
      </c>
      <c r="N50" t="str">
        <f t="shared" si="3"/>
        <v>?</v>
      </c>
      <c r="O50" s="1">
        <v>2.62</v>
      </c>
      <c r="P50">
        <v>27.6</v>
      </c>
      <c r="Q50" t="str">
        <f t="shared" si="4"/>
        <v>-</v>
      </c>
      <c r="R50">
        <v>0.36299999999999999</v>
      </c>
      <c r="S50">
        <v>169.6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0.78</v>
      </c>
      <c r="D51">
        <v>9.4</v>
      </c>
      <c r="E51" t="str">
        <f t="shared" si="0"/>
        <v>-</v>
      </c>
      <c r="F51">
        <v>0.154</v>
      </c>
      <c r="G51">
        <v>111.6</v>
      </c>
      <c r="H51" t="str">
        <f t="shared" si="1"/>
        <v>?</v>
      </c>
      <c r="I51" s="1">
        <v>2.93</v>
      </c>
      <c r="J51">
        <v>35.299999999999997</v>
      </c>
      <c r="K51" t="str">
        <f t="shared" si="2"/>
        <v>-</v>
      </c>
      <c r="L51">
        <v>0.48499999999999999</v>
      </c>
      <c r="M51">
        <v>354</v>
      </c>
      <c r="N51" t="str">
        <f t="shared" si="3"/>
        <v>?</v>
      </c>
      <c r="O51" s="1">
        <v>3.09</v>
      </c>
      <c r="P51">
        <v>37.5</v>
      </c>
      <c r="Q51" t="str">
        <f t="shared" si="4"/>
        <v>-</v>
      </c>
      <c r="R51">
        <v>0.47199999999999998</v>
      </c>
      <c r="S51">
        <v>339.6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9.17</v>
      </c>
      <c r="D52">
        <v>128.80000000000001</v>
      </c>
      <c r="E52" t="str">
        <f t="shared" si="0"/>
        <v>?</v>
      </c>
      <c r="F52">
        <v>0.33700000000000002</v>
      </c>
      <c r="G52">
        <v>201.8</v>
      </c>
      <c r="H52" t="str">
        <f t="shared" si="1"/>
        <v>?</v>
      </c>
      <c r="I52" s="1">
        <v>9.1300000000000008</v>
      </c>
      <c r="J52">
        <v>130.6</v>
      </c>
      <c r="K52" t="str">
        <f t="shared" si="2"/>
        <v>?</v>
      </c>
      <c r="L52">
        <v>0.219</v>
      </c>
      <c r="M52">
        <v>90.5</v>
      </c>
      <c r="N52" t="str">
        <f t="shared" si="3"/>
        <v>?</v>
      </c>
      <c r="O52" s="1">
        <v>8.9700000000000006</v>
      </c>
      <c r="P52">
        <v>127.1</v>
      </c>
      <c r="Q52" t="str">
        <f t="shared" si="4"/>
        <v>?</v>
      </c>
      <c r="R52">
        <v>0.221</v>
      </c>
      <c r="S52">
        <v>88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0.48895833333333333</v>
      </c>
      <c r="D56">
        <f>AVERAGE(D$5:D$52)</f>
        <v>11.895833333333334</v>
      </c>
      <c r="F56">
        <f>AVERAGE(F$5:F$52)</f>
        <v>2.7583333333333335E-2</v>
      </c>
      <c r="G56">
        <f>AVERAGE(G$5:G$52)</f>
        <v>15.700000000000003</v>
      </c>
      <c r="H56" s="25"/>
      <c r="I56" s="1">
        <f>AVERAGE(I$5:I$52)</f>
        <v>0.50249999999999995</v>
      </c>
      <c r="J56">
        <f>AVERAGE(J$5:J$52)</f>
        <v>11.666666666666666</v>
      </c>
      <c r="L56">
        <f>AVERAGE(L$5:L$52)</f>
        <v>3.2500000000000001E-2</v>
      </c>
      <c r="M56">
        <f>AVERAGE(M$5:M$52)</f>
        <v>20.479166666666668</v>
      </c>
      <c r="N56" s="2"/>
      <c r="O56" s="25">
        <f>AVERAGE(O$5:O$52)</f>
        <v>0.52499999999999991</v>
      </c>
      <c r="P56">
        <f>AVERAGE(P$5:P$52)</f>
        <v>13.627083333333333</v>
      </c>
      <c r="R56">
        <f>AVERAGE(R$5:R$52)</f>
        <v>3.5708333333333335E-2</v>
      </c>
      <c r="S56">
        <f>AVERAGE(S$5:S$52)</f>
        <v>22.608333333333331</v>
      </c>
      <c r="T56" s="25"/>
    </row>
    <row r="57" spans="1:20">
      <c r="B57" s="4" t="s">
        <v>20</v>
      </c>
      <c r="C57" s="25">
        <f>MEDIAN(C$5:C$52)</f>
        <v>0.16500000000000001</v>
      </c>
      <c r="D57">
        <f>MEDIAN(D$5:D$52)</f>
        <v>14.7</v>
      </c>
      <c r="F57">
        <f>MEDIAN(F$5:F$52)</f>
        <v>9.4999999999999998E-3</v>
      </c>
      <c r="G57">
        <f>MEDIAN(G$5:G$52)</f>
        <v>6.95</v>
      </c>
      <c r="H57" s="25"/>
      <c r="I57" s="1">
        <f>MEDIAN(I$5:I$52)</f>
        <v>0.13</v>
      </c>
      <c r="J57">
        <f>MEDIAN(J$5:J$52)</f>
        <v>9.5500000000000007</v>
      </c>
      <c r="L57">
        <f>MEDIAN(L$5:L$52)</f>
        <v>2.5000000000000001E-3</v>
      </c>
      <c r="M57">
        <f>MEDIAN(M$5:M$52)</f>
        <v>2.25</v>
      </c>
      <c r="N57" s="2"/>
      <c r="O57" s="25">
        <f>MEDIAN(O$5:O$52)</f>
        <v>0.13500000000000001</v>
      </c>
      <c r="P57">
        <f>MEDIAN(P$5:P$52)</f>
        <v>8.4</v>
      </c>
      <c r="R57">
        <f>MEDIAN(R$5:R$52)</f>
        <v>6.0000000000000001E-3</v>
      </c>
      <c r="S57">
        <f>MEDIAN(S$5:S$52)</f>
        <v>5.1999999999999993</v>
      </c>
      <c r="T57" s="25"/>
    </row>
    <row r="58" spans="1:20">
      <c r="B58" s="4" t="s">
        <v>21</v>
      </c>
      <c r="C58" s="25">
        <f>STDEV(C$5:C$52)</f>
        <v>1.5735205676921908</v>
      </c>
      <c r="D58">
        <f>STDEV(D$5:D$52)</f>
        <v>26.468801051011248</v>
      </c>
      <c r="F58">
        <f>STDEV(F$5:F$52)</f>
        <v>8.5943037378014897E-2</v>
      </c>
      <c r="G58">
        <f>STDEV(G$5:G$52)</f>
        <v>45.777268353106663</v>
      </c>
      <c r="H58" s="25"/>
      <c r="I58" s="1">
        <f>STDEV(I$5:I$52)</f>
        <v>1.7395982661693978</v>
      </c>
      <c r="J58">
        <f>STDEV(J$5:J$52)</f>
        <v>31.5212210405391</v>
      </c>
      <c r="L58">
        <f>STDEV(L$5:L$52)</f>
        <v>0.11230316113093167</v>
      </c>
      <c r="M58">
        <f>STDEV(M$5:M$52)</f>
        <v>73.456714590564943</v>
      </c>
      <c r="N58" s="2"/>
      <c r="O58" s="25">
        <f>STDEV(O$5:O$52)</f>
        <v>1.7529634482965781</v>
      </c>
      <c r="P58">
        <f>STDEV(P$5:P$52)</f>
        <v>32.225797381041971</v>
      </c>
      <c r="R58">
        <f>STDEV(R$5:R$52)</f>
        <v>0.10868164681587195</v>
      </c>
      <c r="S58">
        <f>STDEV(S$5:S$52)</f>
        <v>67.891966225866412</v>
      </c>
      <c r="T58" s="25"/>
    </row>
    <row r="59" spans="1:20">
      <c r="B59" s="4" t="s">
        <v>22</v>
      </c>
      <c r="C59" s="25">
        <f>COUNTIF(C$5:C$52, "&lt;0")</f>
        <v>14</v>
      </c>
      <c r="D59">
        <f>COUNTIF(D$5:D$52, "&lt;0")</f>
        <v>14</v>
      </c>
      <c r="F59">
        <f>COUNTIF(F$5:F$52, "&lt;0")</f>
        <v>14</v>
      </c>
      <c r="G59">
        <f>COUNTIF(G$5:G$52, "&lt;0")</f>
        <v>14</v>
      </c>
      <c r="H59" s="25"/>
      <c r="I59" s="1">
        <f>COUNTIF(I$5:I$52, "&lt;0")</f>
        <v>17</v>
      </c>
      <c r="J59">
        <f>COUNTIF(J$5:J$52, "&lt;0")</f>
        <v>17</v>
      </c>
      <c r="L59">
        <f>COUNTIF(L$5:L$52, "&lt;0")</f>
        <v>21</v>
      </c>
      <c r="M59">
        <f>COUNTIF(M$5:M$52, "&lt;0")</f>
        <v>21</v>
      </c>
      <c r="N59" s="2"/>
      <c r="O59" s="25">
        <f>COUNTIF(O$5:O$52, "&lt;0")</f>
        <v>17</v>
      </c>
      <c r="P59">
        <f>COUNTIF(P$5:P$52, "&lt;0")</f>
        <v>17</v>
      </c>
      <c r="R59">
        <f>COUNTIF(R$5:R$52, "&lt;0")</f>
        <v>16</v>
      </c>
      <c r="S59">
        <f>COUNTIF(S$5:S$52, "&lt;0")</f>
        <v>16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7.2083333333333319E-2</v>
      </c>
      <c r="D63">
        <f>AVERAGE(D$5:D$28)</f>
        <v>3.9041666666666663</v>
      </c>
      <c r="F63">
        <f>AVERAGE(F$5:F$28)</f>
        <v>-1.7916666666666656E-3</v>
      </c>
      <c r="G63">
        <f>AVERAGE(G$5:G$28)</f>
        <v>-1.845833333333333</v>
      </c>
      <c r="H63" s="25"/>
      <c r="I63" s="1">
        <f>AVERAGE(I$5:I$28)</f>
        <v>4.9999999999999996E-2</v>
      </c>
      <c r="J63">
        <f>AVERAGE(J$5:J$28)</f>
        <v>3.4583333333333335</v>
      </c>
      <c r="L63">
        <f>AVERAGE(L$5:L$28)</f>
        <v>-1.7916666666666662E-3</v>
      </c>
      <c r="M63">
        <f>AVERAGE(M$5:M$28)</f>
        <v>-0.36666666666666625</v>
      </c>
      <c r="N63" s="2"/>
      <c r="O63" s="25">
        <f>AVERAGE(O$5:O$28)</f>
        <v>1.2499999999999983E-2</v>
      </c>
      <c r="P63">
        <f>AVERAGE(P$5:P$28)</f>
        <v>1.375</v>
      </c>
      <c r="R63">
        <f>AVERAGE(R$5:R$28)</f>
        <v>-1.4999999999999998E-3</v>
      </c>
      <c r="S63">
        <f>AVERAGE(S$5:S$28)</f>
        <v>-1.1458333333333333</v>
      </c>
      <c r="T63" s="25"/>
    </row>
    <row r="64" spans="1:20">
      <c r="B64" s="4" t="s">
        <v>20</v>
      </c>
      <c r="C64" s="25">
        <f>MEDIAN(C$5:C$28)</f>
        <v>0.08</v>
      </c>
      <c r="D64">
        <f>MEDIAN(D$5:D$28)</f>
        <v>7.3</v>
      </c>
      <c r="F64">
        <f>MEDIAN(F$5:F$28)</f>
        <v>1.5E-3</v>
      </c>
      <c r="G64">
        <f>MEDIAN(G$5:G$28)</f>
        <v>0.70000000000000018</v>
      </c>
      <c r="H64" s="25"/>
      <c r="I64" s="1">
        <f>MEDIAN(I$5:I$28)</f>
        <v>1.5000000000000001E-2</v>
      </c>
      <c r="J64">
        <f>MEDIAN(J$5:J$28)</f>
        <v>1.35</v>
      </c>
      <c r="L64">
        <f>MEDIAN(L$5:L$28)</f>
        <v>3.5000000000000001E-3</v>
      </c>
      <c r="M64">
        <f>MEDIAN(M$5:M$28)</f>
        <v>2.5499999999999998</v>
      </c>
      <c r="N64" s="2"/>
      <c r="O64" s="25">
        <f>MEDIAN(O$5:O$28)</f>
        <v>-0.01</v>
      </c>
      <c r="P64">
        <f>MEDIAN(P$5:P$28)</f>
        <v>-0.8</v>
      </c>
      <c r="R64">
        <f>MEDIAN(R$5:R$28)</f>
        <v>3.5000000000000001E-3</v>
      </c>
      <c r="S64">
        <f>MEDIAN(S$5:S$28)</f>
        <v>2.8499999999999996</v>
      </c>
      <c r="T64" s="25"/>
    </row>
    <row r="65" spans="2:20">
      <c r="B65" s="4" t="s">
        <v>21</v>
      </c>
      <c r="C65" s="25">
        <f>STDEV(C$5:C$28)</f>
        <v>0.35854754298378638</v>
      </c>
      <c r="D65">
        <f>STDEV(D$5:D$28)</f>
        <v>17.8246892567991</v>
      </c>
      <c r="F65">
        <f>STDEV(F$5:F$28)</f>
        <v>2.2274920907811892E-2</v>
      </c>
      <c r="G65">
        <f>STDEV(G$5:G$28)</f>
        <v>17.54707901287442</v>
      </c>
      <c r="H65" s="25"/>
      <c r="I65" s="1">
        <f>STDEV(I$5:I$28)</f>
        <v>0.36077211884946214</v>
      </c>
      <c r="J65">
        <f>STDEV(J$5:J$28)</f>
        <v>22.078494684561988</v>
      </c>
      <c r="L65">
        <f>STDEV(L$5:L$28)</f>
        <v>2.9740879737093044E-2</v>
      </c>
      <c r="M65">
        <f>STDEV(M$5:M$28)</f>
        <v>30.091868996626729</v>
      </c>
      <c r="N65" s="2"/>
      <c r="O65" s="25">
        <f>STDEV(O$5:O$28)</f>
        <v>0.45399913809533199</v>
      </c>
      <c r="P65">
        <f>STDEV(P$5:P$28)</f>
        <v>21.731508881365546</v>
      </c>
      <c r="R65">
        <f>STDEV(R$5:R$28)</f>
        <v>2.2261294153559544E-2</v>
      </c>
      <c r="S65">
        <f>STDEV(S$5:S$28)</f>
        <v>22.046038373617478</v>
      </c>
      <c r="T65" s="25"/>
    </row>
    <row r="66" spans="2:20">
      <c r="B66" s="4" t="s">
        <v>22</v>
      </c>
      <c r="C66" s="25">
        <f>COUNTIF(C$5:C$28, "&lt;0")</f>
        <v>11</v>
      </c>
      <c r="D66">
        <f>COUNTIF(D$5:D$28, "&lt;0")</f>
        <v>11</v>
      </c>
      <c r="F66">
        <f>COUNTIF(F$5:F$28, "&lt;0")</f>
        <v>12</v>
      </c>
      <c r="G66">
        <f>COUNTIF(G$5:G$28, "&lt;0")</f>
        <v>12</v>
      </c>
      <c r="H66" s="25"/>
      <c r="I66" s="1">
        <f>COUNTIF(I$5:I$28, "&lt;0")</f>
        <v>12</v>
      </c>
      <c r="J66">
        <f>COUNTIF(J$5:J$28, "&lt;0")</f>
        <v>12</v>
      </c>
      <c r="L66">
        <f>COUNTIF(L$5:L$28, "&lt;0")</f>
        <v>11</v>
      </c>
      <c r="M66">
        <f>COUNTIF(M$5:M$28, "&lt;0")</f>
        <v>11</v>
      </c>
      <c r="N66" s="2"/>
      <c r="O66" s="25">
        <f>COUNTIF(O$5:O$28, "&lt;0")</f>
        <v>13</v>
      </c>
      <c r="P66">
        <f>COUNTIF(P$5:P$28, "&lt;0")</f>
        <v>13</v>
      </c>
      <c r="R66">
        <f>COUNTIF(R$5:R$28, "&lt;0")</f>
        <v>9</v>
      </c>
      <c r="S66">
        <f>COUNTIF(S$5:S$28, "&lt;0")</f>
        <v>9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0.90583333333333338</v>
      </c>
      <c r="D70">
        <f>AVERAGE(D$29:D$52)</f>
        <v>19.887500000000003</v>
      </c>
      <c r="F70">
        <f>AVERAGE(F$29:F$52)</f>
        <v>5.6958333333333333E-2</v>
      </c>
      <c r="G70">
        <f>AVERAGE(G$29:G$52)</f>
        <v>33.245833333333337</v>
      </c>
      <c r="H70" s="25"/>
      <c r="I70" s="1">
        <f>AVERAGE(I$29:I$52)</f>
        <v>0.95500000000000007</v>
      </c>
      <c r="J70">
        <f>AVERAGE(J$29:J$52)</f>
        <v>19.875</v>
      </c>
      <c r="L70">
        <f>AVERAGE(L$29:L$52)</f>
        <v>6.6791666666666666E-2</v>
      </c>
      <c r="M70">
        <f>AVERAGE(M$29:M$52)</f>
        <v>41.324999999999996</v>
      </c>
      <c r="N70" s="2"/>
      <c r="O70" s="25">
        <f>AVERAGE(O$29:O$52)</f>
        <v>1.0374999999999999</v>
      </c>
      <c r="P70">
        <f>AVERAGE(P$29:P$52)</f>
        <v>25.879166666666666</v>
      </c>
      <c r="R70">
        <f>AVERAGE(R$29:R$52)</f>
        <v>7.2916666666666671E-2</v>
      </c>
      <c r="S70">
        <f>AVERAGE(S$29:S$52)</f>
        <v>46.362500000000004</v>
      </c>
      <c r="T70" s="25"/>
    </row>
    <row r="71" spans="2:20">
      <c r="B71" s="4" t="s">
        <v>20</v>
      </c>
      <c r="C71" s="25">
        <f>MEDIAN(C$29:C$52)</f>
        <v>0.23500000000000001</v>
      </c>
      <c r="D71">
        <f>MEDIAN(D$29:D$52)</f>
        <v>15.15</v>
      </c>
      <c r="F71">
        <f>MEDIAN(F$29:F$52)</f>
        <v>1.4E-2</v>
      </c>
      <c r="G71">
        <f>MEDIAN(G$29:G$52)</f>
        <v>11</v>
      </c>
      <c r="H71" s="25"/>
      <c r="I71" s="1">
        <f>MEDIAN(I$29:I$52)</f>
        <v>0.185</v>
      </c>
      <c r="J71">
        <f>MEDIAN(J$29:J$52)</f>
        <v>15.1</v>
      </c>
      <c r="L71">
        <f>MEDIAN(L$29:L$52)</f>
        <v>2E-3</v>
      </c>
      <c r="M71">
        <f>MEDIAN(M$29:M$52)</f>
        <v>1.7999999999999998</v>
      </c>
      <c r="N71" s="2"/>
      <c r="O71" s="25">
        <f>MEDIAN(O$29:O$52)</f>
        <v>0.28000000000000003</v>
      </c>
      <c r="P71">
        <f>MEDIAN(P$29:P$52)</f>
        <v>14.85</v>
      </c>
      <c r="R71">
        <f>MEDIAN(R$29:R$52)</f>
        <v>1.2500000000000001E-2</v>
      </c>
      <c r="S71">
        <f>MEDIAN(S$29:S$52)</f>
        <v>9.1999999999999993</v>
      </c>
      <c r="T71" s="25"/>
    </row>
    <row r="72" spans="2:20">
      <c r="B72" s="4" t="s">
        <v>21</v>
      </c>
      <c r="C72" s="25">
        <f>STDEV(C$29:C$52)</f>
        <v>2.1373692010154155</v>
      </c>
      <c r="D72">
        <f>STDEV(D$29:D$52)</f>
        <v>31.315315221011339</v>
      </c>
      <c r="F72">
        <f>STDEV(F$29:F$52)</f>
        <v>0.11312189622613786</v>
      </c>
      <c r="G72">
        <f>STDEV(G$29:G$52)</f>
        <v>57.722137861269161</v>
      </c>
      <c r="H72" s="25"/>
      <c r="I72" s="1">
        <f>STDEV(I$29:I$52)</f>
        <v>2.3720253682931149</v>
      </c>
      <c r="J72">
        <f>STDEV(J$29:J$52)</f>
        <v>37.447322421259159</v>
      </c>
      <c r="L72">
        <f>STDEV(L$29:L$52)</f>
        <v>0.14977896153612688</v>
      </c>
      <c r="M72">
        <f>STDEV(M$29:M$52)</f>
        <v>95.989461604545085</v>
      </c>
      <c r="N72" s="2"/>
      <c r="O72" s="25">
        <f>STDEV(O$29:O$52)</f>
        <v>2.3505526639679779</v>
      </c>
      <c r="P72">
        <f>STDEV(P$29:P$52)</f>
        <v>36.559778079036612</v>
      </c>
      <c r="R72">
        <f>STDEV(R$29:R$52)</f>
        <v>0.14405582150730642</v>
      </c>
      <c r="S72">
        <f>STDEV(S$29:S$52)</f>
        <v>88.064910904449889</v>
      </c>
      <c r="T72" s="25"/>
    </row>
    <row r="73" spans="2:20">
      <c r="B73" s="4" t="s">
        <v>22</v>
      </c>
      <c r="C73" s="25">
        <f>COUNTIF(C$29:C$52, "&lt;0")</f>
        <v>3</v>
      </c>
      <c r="D73">
        <f>COUNTIF(D$29:D$52, "&lt;0")</f>
        <v>3</v>
      </c>
      <c r="F73">
        <f>COUNTIF(F$29:F$52, "&lt;0")</f>
        <v>2</v>
      </c>
      <c r="G73">
        <f>COUNTIF(G$29:G$52, "&lt;0")</f>
        <v>2</v>
      </c>
      <c r="H73" s="25"/>
      <c r="I73" s="1">
        <f>COUNTIF(I$29:I$52, "&lt;0")</f>
        <v>5</v>
      </c>
      <c r="J73">
        <f>COUNTIF(J$29:J$52, "&lt;0")</f>
        <v>5</v>
      </c>
      <c r="L73">
        <f>COUNTIF(L$29:L$52, "&lt;0")</f>
        <v>10</v>
      </c>
      <c r="M73">
        <f>COUNTIF(M$29:M$52, "&lt;0")</f>
        <v>10</v>
      </c>
      <c r="N73" s="2"/>
      <c r="O73" s="25">
        <f>COUNTIF(O$29:O$52, "&lt;0")</f>
        <v>4</v>
      </c>
      <c r="P73">
        <f>COUNTIF(P$29:P$52, "&lt;0")</f>
        <v>4</v>
      </c>
      <c r="R73">
        <f>COUNTIF(R$29:R$52, "&lt;0")</f>
        <v>7</v>
      </c>
      <c r="S73">
        <f>COUNTIF(S$29:S$52, "&lt;0")</f>
        <v>7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0.50548611111111086</v>
      </c>
      <c r="D77">
        <f>AVERAGE(D$5:D$52,J$5:J$52,P$5:P$52)</f>
        <v>12.396527777777774</v>
      </c>
      <c r="F77">
        <f>AVERAGE(F$5:F$52,L$5:L$52,R$5:R$52)</f>
        <v>3.1930555555555545E-2</v>
      </c>
      <c r="G77">
        <f>AVERAGE(G$5:G$52,M$5:M$52,S$5:S$52)</f>
        <v>19.595833333333335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0.15</v>
      </c>
      <c r="D78">
        <f>MEDIAN(D$5:D$52,J$5:J$52,P$5:P$52)</f>
        <v>10.050000000000001</v>
      </c>
      <c r="F78">
        <f>MEDIAN(F$5:F$52,L$5:L$52,R$5:R$52)</f>
        <v>7.0000000000000001E-3</v>
      </c>
      <c r="G78">
        <f>MEDIAN(G$5:G$52,M$5:M$52,S$5:S$52)</f>
        <v>5.25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1.6788673462305816</v>
      </c>
      <c r="D79">
        <f>STDEV(D$5:D$52,J$5:J$52,P$5:P$52)</f>
        <v>29.982112180372248</v>
      </c>
      <c r="F79">
        <f>STDEV(F$5:F$52,L$5:L$52,R$5:R$52)</f>
        <v>0.10230467678457755</v>
      </c>
      <c r="G79">
        <f>STDEV(G$5:G$52,M$5:M$52,S$5:S$52)</f>
        <v>63.131431196315397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48</v>
      </c>
      <c r="D80">
        <f>COUNTIF(D$5:D$52, "&lt;0")+COUNTIF(J$5:J$52, "&lt;0")+COUNTIF(P$5:P$52, "&lt;0")</f>
        <v>48</v>
      </c>
      <c r="F80">
        <f>COUNTIF(F$5:F$52, "&lt;0")+COUNTIF(L$5:L$52, "&lt;0")+COUNTIF(R$5:R$52, "&lt;0")</f>
        <v>51</v>
      </c>
      <c r="G80">
        <f>COUNTIF(G$5:G$52, "&lt;0")+COUNTIF(M$5:M$52, "&lt;0")+COUNTIF(S$5:S$52, "&lt;0")</f>
        <v>51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0.75201388888888943</v>
      </c>
      <c r="D83" cm="1">
        <f t="array" ref="D83">AVERAGE(ABS(D$5:D$52),ABS(J$5:J$52),ABS(P$5:P$52))</f>
        <v>22.968750000000004</v>
      </c>
      <c r="F83" cm="1">
        <f t="array" ref="F83">AVERAGE(ABS(F$5:F$52),ABS(L$5:L$52),ABS(R$5:R$52))</f>
        <v>4.504166666666666E-2</v>
      </c>
      <c r="G83" cm="1">
        <f t="array" ref="G83">AVERAGE(ABS(G$5:G$52),ABS(M$5:M$52),ABS(S$5:S$52))</f>
        <v>31.13194444444445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0.23</v>
      </c>
      <c r="D84" cm="1">
        <f t="array" ref="D84">MEDIAN(ABS(D$5:D$52),ABS(J$5:J$52),ABS(P$5:P$52))</f>
        <v>16.05</v>
      </c>
      <c r="F84" cm="1">
        <f t="array" ref="F84">MEDIAN(ABS(F$5:F$52),ABS(L$5:L$52),ABS(R$5:R$52))</f>
        <v>1.35E-2</v>
      </c>
      <c r="G84" cm="1">
        <f t="array" ref="G84">MEDIAN(ABS(G$5:G$52),ABS(M$5:M$52),ABS(S$5:S$52))</f>
        <v>10.7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1.5831673925434229</v>
      </c>
      <c r="D85" cm="1">
        <f t="array" ref="D85">STDEV(ABS(D$5:D$52),ABS(J$5:J$52),ABS(P$5:P$52))</f>
        <v>22.856571544355415</v>
      </c>
      <c r="F85" cm="1">
        <f t="array" ref="F85">STDEV(ABS(F$5:F$52),ABS(L$5:L$52),ABS(R$5:R$52))</f>
        <v>9.7211101484080728E-2</v>
      </c>
      <c r="G85" cm="1">
        <f t="array" ref="G85">STDEV(ABS(G$5:G$52),ABS(M$5:M$52),ABS(S$5:S$52))</f>
        <v>58.277645863414101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4.4861111111111102E-2</v>
      </c>
      <c r="D89">
        <f>AVERAGE(D$5:D$28,J$5:J$28,P$5:P$28)</f>
        <v>2.9125000000000005</v>
      </c>
      <c r="F89">
        <f>AVERAGE(F$5:F$28,L$5:L$28,R$5:R$28)</f>
        <v>-1.6944444444444439E-3</v>
      </c>
      <c r="G89">
        <f>AVERAGE(G$5:G$28,M$5:M$28,S$5:S$28)</f>
        <v>-1.1194444444444445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0</v>
      </c>
      <c r="D90">
        <f>MEDIAN(D$5:D$28,J$5:J$28,P$5:P$28)</f>
        <v>0.30000000000000004</v>
      </c>
      <c r="F90">
        <f>MEDIAN(F$5:F$28,L$5:L$28,R$5:R$28)</f>
        <v>3.5000000000000001E-3</v>
      </c>
      <c r="G90">
        <f>MEDIAN(G$5:G$28,M$5:M$28,S$5:S$28)</f>
        <v>2.8499999999999996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0.38883355016505361</v>
      </c>
      <c r="D91">
        <f>STDEV(D$5:D$28,J$5:J$28,P$5:P$28)</f>
        <v>20.372778976846448</v>
      </c>
      <c r="F91">
        <f>STDEV(F$5:F$28,L$5:L$28,R$5:R$28)</f>
        <v>2.4654022263547948E-2</v>
      </c>
      <c r="G91">
        <f>STDEV(G$5:G$28,M$5:M$28,S$5:S$28)</f>
        <v>23.471166842030833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36</v>
      </c>
      <c r="D92">
        <f>COUNTIF(D$5:D$28, "&lt;0")+COUNTIF(J$5:J$28, "&lt;0")+COUNTIF(P$5:P$28, "&lt;0")</f>
        <v>36</v>
      </c>
      <c r="F92">
        <f>COUNTIF(F$5:F$28, "&lt;0")+COUNTIF(L$5:L$28, "&lt;0")+COUNTIF(R$5:R$28, "&lt;0")</f>
        <v>32</v>
      </c>
      <c r="G92">
        <f>COUNTIF(G$5:G$28, "&lt;0")+COUNTIF(M$5:M$28, "&lt;0")+COUNTIF(S$5:S$28, "&lt;0")</f>
        <v>32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0.27819444444444447</v>
      </c>
      <c r="D95" cm="1">
        <f t="array" ref="D95">AVERAGE(ABS(D$5:D$28),ABS(J$5:J$28),ABS(P$5:P$28))</f>
        <v>16.370833333333326</v>
      </c>
      <c r="F95" cm="1">
        <f t="array" ref="F95">AVERAGE(ABS(F$5:F$28),ABS(L$5:L$28),ABS(R$5:R$28))</f>
        <v>1.8111111111111106E-2</v>
      </c>
      <c r="G95" cm="1">
        <f t="array" ref="G95">AVERAGE(ABS(G$5:G$28),ABS(M$5:M$28),ABS(S$5:S$28))</f>
        <v>16.166666666666675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0.19</v>
      </c>
      <c r="D96" cm="1">
        <f t="array" ref="D96">MEDIAN(ABS(D$5:D$28),ABS(J$5:J$28),ABS(P$5:P$28))</f>
        <v>14.85</v>
      </c>
      <c r="F96" cm="1">
        <f t="array" ref="F96">MEDIAN(ABS(F$5:F$28),ABS(L$5:L$28),ABS(R$5:R$28))</f>
        <v>1.2E-2</v>
      </c>
      <c r="G96" cm="1">
        <f t="array" ref="G96">MEDIAN(ABS(G$5:G$28),ABS(M$5:M$28),ABS(S$5:S$28))</f>
        <v>9.3500000000000014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0.27340485580905222</v>
      </c>
      <c r="D97" cm="1">
        <f t="array" ref="D97">STDEV(ABS(D$5:D$28),ABS(J$5:J$28),ABS(P$5:P$28))</f>
        <v>12.323691114112544</v>
      </c>
      <c r="F97" cm="1">
        <f t="array" ref="F97">STDEV(ABS(F$5:F$28),ABS(L$5:L$28),ABS(R$5:R$28))</f>
        <v>1.6676335223739142E-2</v>
      </c>
      <c r="G97" cm="1">
        <f t="array" ref="G97">STDEV(ABS(G$5:G$28),ABS(M$5:M$28),ABS(S$5:S$28))</f>
        <v>16.944740344782872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0.96611111111111092</v>
      </c>
      <c r="D101">
        <f>AVERAGE(D$29:D$52,J$29:J$52,P$29:P$52)</f>
        <v>21.88055555555556</v>
      </c>
      <c r="F101">
        <f>AVERAGE(F$29:F$52,L$29:L$52,R$29:R$52)</f>
        <v>6.5555555555555534E-2</v>
      </c>
      <c r="G101">
        <f>AVERAGE(G$29:G$52,M$29:M$52,S$29:S$52)</f>
        <v>40.311111111111103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0.19500000000000001</v>
      </c>
      <c r="D102">
        <f>MEDIAN(D$29:D$52,J$29:J$52,P$29:P$52)</f>
        <v>15.15</v>
      </c>
      <c r="F102">
        <f>MEDIAN(F$29:F$52,L$29:L$52,R$29:R$52)</f>
        <v>1.2E-2</v>
      </c>
      <c r="G102">
        <f>MEDIAN(G$29:G$52,M$29:M$52,S$29:S$52)</f>
        <v>8.0500000000000007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2.2572927543918038</v>
      </c>
      <c r="D103">
        <f>STDEV(D$29:D$52,J$29:J$52,P$29:P$52)</f>
        <v>34.828689966139024</v>
      </c>
      <c r="F103">
        <f>STDEV(F$29:F$52,L$29:L$52,R$29:R$52)</f>
        <v>0.13482935369046467</v>
      </c>
      <c r="G103">
        <f>STDEV(G$29:G$52,M$29:M$52,S$29:S$52)</f>
        <v>81.277678372139462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12</v>
      </c>
      <c r="D104">
        <f>COUNTIF(D$29:D$52, "&lt;0")+COUNTIF(J$29:J$52, "&lt;0")+COUNTIF(P$29:P$52, "&lt;0")</f>
        <v>12</v>
      </c>
      <c r="F104">
        <f>COUNTIF(F$29:F$52, "&lt;0")+COUNTIF(L$29:L$52, "&lt;0")+COUNTIF(R$29:R$52, "&lt;0")</f>
        <v>19</v>
      </c>
      <c r="G104">
        <f>COUNTIF(G$29:G$52, "&lt;0")+COUNTIF(M$29:M$52, "&lt;0")+COUNTIF(S$29:S$52, "&lt;0")</f>
        <v>19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1.2258333333333333</v>
      </c>
      <c r="D107" cm="1">
        <f t="array" ref="D107">AVERAGE(ABS(D$29:D$52),ABS(J$29:J$52),ABS(P$29:P$52))</f>
        <v>29.566666666666663</v>
      </c>
      <c r="F107" cm="1">
        <f t="array" ref="F107">AVERAGE(ABS(F$29:F$52),ABS(L$29:L$52),ABS(R$29:R$52))</f>
        <v>7.1972222222222201E-2</v>
      </c>
      <c r="G107" cm="1">
        <f t="array" ref="G107">AVERAGE(ABS(G$29:G$52),ABS(M$29:M$52),ABS(S$29:S$52))</f>
        <v>46.097222222222207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0.32500000000000001</v>
      </c>
      <c r="D108" cm="1">
        <f t="array" ref="D108">MEDIAN(ABS(D$29:D$52),ABS(J$29:J$52),ABS(P$29:P$52))</f>
        <v>20.399999999999999</v>
      </c>
      <c r="F108" cm="1">
        <f t="array" ref="F108">MEDIAN(ABS(F$29:F$52),ABS(L$29:L$52),ABS(R$29:R$52))</f>
        <v>1.4E-2</v>
      </c>
      <c r="G108" cm="1">
        <f t="array" ref="G108">MEDIAN(ABS(G$29:G$52),ABS(M$29:M$52),ABS(S$29:S$52))</f>
        <v>12.2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2.125571836895384</v>
      </c>
      <c r="D109" cm="1">
        <f t="array" ref="D109">STDEV(ABS(D$29:D$52),ABS(J$29:J$52),ABS(P$29:P$52))</f>
        <v>28.496300723595287</v>
      </c>
      <c r="F109" cm="1">
        <f t="array" ref="F109">STDEV(ABS(F$29:F$52),ABS(L$29:L$52),ABS(R$29:R$52))</f>
        <v>0.13146883872445042</v>
      </c>
      <c r="G109" cm="1">
        <f t="array" ref="G109">STDEV(ABS(G$29:G$52),ABS(M$29:M$52),ABS(S$29:S$52))</f>
        <v>78.096421032533669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38BC-204F-4DE0-96E4-2BBC6046F294}">
  <dimension ref="A1:T109"/>
  <sheetViews>
    <sheetView topLeftCell="A32" workbookViewId="0">
      <selection activeCell="C55" sqref="C55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8" t="s">
        <v>1</v>
      </c>
      <c r="D2" s="16"/>
      <c r="E2" s="16"/>
      <c r="F2" s="16"/>
      <c r="G2" s="16"/>
      <c r="H2" s="17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-1.77</v>
      </c>
      <c r="D5">
        <v>-56.4</v>
      </c>
      <c r="E5" t="str">
        <f>IF(ABS(D5)&gt;50,"?","-")</f>
        <v>?</v>
      </c>
      <c r="F5">
        <v>-8.0000000000000002E-3</v>
      </c>
      <c r="G5">
        <v>-5.4</v>
      </c>
      <c r="H5" t="str">
        <f>IF(ABS(G5)&gt;50,"?","-")</f>
        <v>-</v>
      </c>
      <c r="I5" s="1">
        <v>-1.68</v>
      </c>
      <c r="J5">
        <v>-55.8</v>
      </c>
      <c r="K5" t="str">
        <f>IF(ABS(J5)&gt;50,"?","-")</f>
        <v>?</v>
      </c>
      <c r="L5">
        <v>-4.5999999999999999E-2</v>
      </c>
      <c r="M5">
        <v>-26.3</v>
      </c>
      <c r="N5" t="str">
        <f>IF(ABS(M5)&gt;50,"?","-")</f>
        <v>-</v>
      </c>
      <c r="O5" s="1">
        <v>-1.69</v>
      </c>
      <c r="P5">
        <v>-55.8</v>
      </c>
      <c r="Q5" t="str">
        <f>IF(ABS(P5)&gt;50,"?","-")</f>
        <v>?</v>
      </c>
      <c r="R5">
        <v>-5.1999999999999998E-2</v>
      </c>
      <c r="S5">
        <v>-28.9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-1.42</v>
      </c>
      <c r="D6">
        <v>-54.6</v>
      </c>
      <c r="E6" t="str">
        <f t="shared" ref="E6:E52" si="0">IF(ABS(D6)&gt;50,"?","-")</f>
        <v>?</v>
      </c>
      <c r="F6">
        <v>-8.9999999999999993E-3</v>
      </c>
      <c r="G6">
        <v>-8.3000000000000007</v>
      </c>
      <c r="H6" t="str">
        <f t="shared" ref="H6:H52" si="1">IF(ABS(G6)&gt;50,"?","-")</f>
        <v>-</v>
      </c>
      <c r="I6" s="1">
        <v>-1.45</v>
      </c>
      <c r="J6">
        <v>-57.1</v>
      </c>
      <c r="K6" t="str">
        <f t="shared" ref="K6:K52" si="2">IF(ABS(J6)&gt;50,"?","-")</f>
        <v>?</v>
      </c>
      <c r="L6">
        <v>-2.1999999999999999E-2</v>
      </c>
      <c r="M6">
        <v>-17.7</v>
      </c>
      <c r="N6" t="str">
        <f t="shared" ref="N6:N52" si="3">IF(ABS(M6)&gt;50,"?","-")</f>
        <v>-</v>
      </c>
      <c r="O6" s="1">
        <v>-1.49</v>
      </c>
      <c r="P6">
        <v>-58.2</v>
      </c>
      <c r="Q6" t="str">
        <f t="shared" ref="Q6:Q52" si="4">IF(ABS(P6)&gt;50,"?","-")</f>
        <v>?</v>
      </c>
      <c r="R6">
        <v>-3.5999999999999997E-2</v>
      </c>
      <c r="S6">
        <v>-27.1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-2.41</v>
      </c>
      <c r="D7">
        <v>-34.9</v>
      </c>
      <c r="E7" t="str">
        <f t="shared" si="0"/>
        <v>-</v>
      </c>
      <c r="F7">
        <v>-5.1999999999999998E-2</v>
      </c>
      <c r="G7">
        <v>-15.4</v>
      </c>
      <c r="H7" t="str">
        <f t="shared" si="1"/>
        <v>-</v>
      </c>
      <c r="I7" s="1">
        <v>-1.47</v>
      </c>
      <c r="J7">
        <v>-24.7</v>
      </c>
      <c r="K7" t="str">
        <f t="shared" si="2"/>
        <v>-</v>
      </c>
      <c r="L7">
        <v>-2.7E-2</v>
      </c>
      <c r="M7">
        <v>-8.8000000000000007</v>
      </c>
      <c r="N7" t="str">
        <f t="shared" si="3"/>
        <v>-</v>
      </c>
      <c r="O7" s="1">
        <v>-1.2</v>
      </c>
      <c r="P7">
        <v>-21.3</v>
      </c>
      <c r="Q7" t="str">
        <f t="shared" si="4"/>
        <v>-</v>
      </c>
      <c r="R7">
        <v>-1.7999999999999999E-2</v>
      </c>
      <c r="S7">
        <v>-6.1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-0.49</v>
      </c>
      <c r="D8">
        <v>-35.5</v>
      </c>
      <c r="E8" t="str">
        <f t="shared" si="0"/>
        <v>-</v>
      </c>
      <c r="F8">
        <v>-2.5999999999999999E-2</v>
      </c>
      <c r="G8">
        <v>-25</v>
      </c>
      <c r="H8" t="str">
        <f t="shared" si="1"/>
        <v>-</v>
      </c>
      <c r="I8" s="1">
        <v>-0.28999999999999998</v>
      </c>
      <c r="J8">
        <v>-24.4</v>
      </c>
      <c r="K8" t="str">
        <f t="shared" si="2"/>
        <v>-</v>
      </c>
      <c r="L8">
        <v>-2E-3</v>
      </c>
      <c r="M8">
        <v>-2.4</v>
      </c>
      <c r="N8" t="str">
        <f t="shared" si="3"/>
        <v>-</v>
      </c>
      <c r="O8" s="1">
        <v>-0.3</v>
      </c>
      <c r="P8">
        <v>-25</v>
      </c>
      <c r="Q8" t="str">
        <f t="shared" si="4"/>
        <v>-</v>
      </c>
      <c r="R8">
        <v>1.4E-2</v>
      </c>
      <c r="S8">
        <v>20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-0.85</v>
      </c>
      <c r="D9">
        <v>-38.6</v>
      </c>
      <c r="E9" t="str">
        <f t="shared" si="0"/>
        <v>-</v>
      </c>
      <c r="F9">
        <v>-2E-3</v>
      </c>
      <c r="G9">
        <v>-1.4</v>
      </c>
      <c r="H9" t="str">
        <f t="shared" si="1"/>
        <v>-</v>
      </c>
      <c r="I9" s="1">
        <v>-0.84</v>
      </c>
      <c r="J9">
        <v>-41</v>
      </c>
      <c r="K9" t="str">
        <f t="shared" si="2"/>
        <v>-</v>
      </c>
      <c r="L9">
        <v>-3.4000000000000002E-2</v>
      </c>
      <c r="M9">
        <v>-22.1</v>
      </c>
      <c r="N9" t="str">
        <f t="shared" si="3"/>
        <v>-</v>
      </c>
      <c r="O9" s="1">
        <v>-0.71</v>
      </c>
      <c r="P9">
        <v>-35.299999999999997</v>
      </c>
      <c r="Q9" t="str">
        <f t="shared" si="4"/>
        <v>-</v>
      </c>
      <c r="R9">
        <v>-3.4000000000000002E-2</v>
      </c>
      <c r="S9">
        <v>-22.1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-0.6</v>
      </c>
      <c r="D10">
        <v>-33.9</v>
      </c>
      <c r="E10" t="str">
        <f t="shared" si="0"/>
        <v>-</v>
      </c>
      <c r="F10">
        <v>8.0000000000000002E-3</v>
      </c>
      <c r="G10">
        <v>7.3</v>
      </c>
      <c r="H10" t="str">
        <f t="shared" si="1"/>
        <v>-</v>
      </c>
      <c r="I10" s="1">
        <v>-0.71</v>
      </c>
      <c r="J10">
        <v>-39.4</v>
      </c>
      <c r="K10" t="str">
        <f t="shared" si="2"/>
        <v>-</v>
      </c>
      <c r="L10">
        <v>-1.7000000000000001E-2</v>
      </c>
      <c r="M10">
        <v>-13.6</v>
      </c>
      <c r="N10" t="str">
        <f t="shared" si="3"/>
        <v>-</v>
      </c>
      <c r="O10" s="1">
        <v>-0.65</v>
      </c>
      <c r="P10">
        <v>-36.9</v>
      </c>
      <c r="Q10" t="str">
        <f t="shared" si="4"/>
        <v>-</v>
      </c>
      <c r="R10">
        <v>-8.0000000000000002E-3</v>
      </c>
      <c r="S10">
        <v>-6.8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-0.96</v>
      </c>
      <c r="D11">
        <v>-18.600000000000001</v>
      </c>
      <c r="E11" t="str">
        <f t="shared" si="0"/>
        <v>-</v>
      </c>
      <c r="F11">
        <v>-1.0999999999999999E-2</v>
      </c>
      <c r="G11">
        <v>-4</v>
      </c>
      <c r="H11" t="str">
        <f t="shared" si="1"/>
        <v>-</v>
      </c>
      <c r="I11" s="1">
        <v>-0.15</v>
      </c>
      <c r="J11">
        <v>-3.5</v>
      </c>
      <c r="K11" t="str">
        <f t="shared" si="2"/>
        <v>-</v>
      </c>
      <c r="L11">
        <v>0.02</v>
      </c>
      <c r="M11">
        <v>8.5</v>
      </c>
      <c r="N11" t="str">
        <f t="shared" si="3"/>
        <v>-</v>
      </c>
      <c r="O11" s="1">
        <v>-0.53</v>
      </c>
      <c r="P11">
        <v>-11.9</v>
      </c>
      <c r="Q11" t="str">
        <f t="shared" si="4"/>
        <v>-</v>
      </c>
      <c r="R11">
        <v>1.0999999999999999E-2</v>
      </c>
      <c r="S11">
        <v>4.7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0.62</v>
      </c>
      <c r="D12">
        <v>103.3</v>
      </c>
      <c r="E12" t="str">
        <f t="shared" si="0"/>
        <v>?</v>
      </c>
      <c r="F12">
        <v>2.3E-2</v>
      </c>
      <c r="G12">
        <v>26.1</v>
      </c>
      <c r="H12" t="str">
        <f t="shared" si="1"/>
        <v>-</v>
      </c>
      <c r="I12" s="1">
        <v>0.59</v>
      </c>
      <c r="J12">
        <v>98.3</v>
      </c>
      <c r="K12" t="str">
        <f t="shared" si="2"/>
        <v>?</v>
      </c>
      <c r="L12">
        <v>4.3999999999999997E-2</v>
      </c>
      <c r="M12">
        <v>47.8</v>
      </c>
      <c r="N12" t="str">
        <f t="shared" si="3"/>
        <v>-</v>
      </c>
      <c r="O12" s="1">
        <v>0.35</v>
      </c>
      <c r="P12">
        <v>61.4</v>
      </c>
      <c r="Q12" t="str">
        <f t="shared" si="4"/>
        <v>?</v>
      </c>
      <c r="R12">
        <v>0.03</v>
      </c>
      <c r="S12">
        <v>44.8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-0.33</v>
      </c>
      <c r="D13">
        <v>-19.5</v>
      </c>
      <c r="E13" t="str">
        <f t="shared" si="0"/>
        <v>-</v>
      </c>
      <c r="F13">
        <v>2E-3</v>
      </c>
      <c r="G13">
        <v>1.5</v>
      </c>
      <c r="H13" t="str">
        <f t="shared" si="1"/>
        <v>-</v>
      </c>
      <c r="I13" s="1">
        <v>-0.46</v>
      </c>
      <c r="J13">
        <v>-27.2</v>
      </c>
      <c r="K13" t="str">
        <f t="shared" si="2"/>
        <v>-</v>
      </c>
      <c r="L13">
        <v>-3.3000000000000002E-2</v>
      </c>
      <c r="M13">
        <v>-22.4</v>
      </c>
      <c r="N13" t="str">
        <f t="shared" si="3"/>
        <v>-</v>
      </c>
      <c r="O13" s="1">
        <v>-0.32</v>
      </c>
      <c r="P13">
        <v>-20.5</v>
      </c>
      <c r="Q13" t="str">
        <f t="shared" si="4"/>
        <v>-</v>
      </c>
      <c r="R13">
        <v>-1.2E-2</v>
      </c>
      <c r="S13">
        <v>-9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-0.36</v>
      </c>
      <c r="D14">
        <v>-24.7</v>
      </c>
      <c r="E14" t="str">
        <f t="shared" si="0"/>
        <v>-</v>
      </c>
      <c r="F14">
        <v>-1.2999999999999999E-2</v>
      </c>
      <c r="G14">
        <v>-11.6</v>
      </c>
      <c r="H14" t="str">
        <f t="shared" si="1"/>
        <v>-</v>
      </c>
      <c r="I14" s="1">
        <v>-0.28999999999999998</v>
      </c>
      <c r="J14">
        <v>-19.7</v>
      </c>
      <c r="K14" t="str">
        <f t="shared" si="2"/>
        <v>-</v>
      </c>
      <c r="L14">
        <v>6.0000000000000001E-3</v>
      </c>
      <c r="M14">
        <v>5.8</v>
      </c>
      <c r="N14" t="str">
        <f t="shared" si="3"/>
        <v>-</v>
      </c>
      <c r="O14" s="1">
        <v>-0.38</v>
      </c>
      <c r="P14">
        <v>-25.3</v>
      </c>
      <c r="Q14" t="str">
        <f t="shared" si="4"/>
        <v>-</v>
      </c>
      <c r="R14">
        <v>-5.0000000000000001E-3</v>
      </c>
      <c r="S14">
        <v>-4.7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0.1</v>
      </c>
      <c r="D15">
        <v>2.5</v>
      </c>
      <c r="E15" t="str">
        <f t="shared" si="0"/>
        <v>-</v>
      </c>
      <c r="F15">
        <v>1.6E-2</v>
      </c>
      <c r="G15">
        <v>6.8</v>
      </c>
      <c r="H15" t="str">
        <f t="shared" si="1"/>
        <v>-</v>
      </c>
      <c r="I15" s="1">
        <v>0.67</v>
      </c>
      <c r="J15">
        <v>21.4</v>
      </c>
      <c r="K15" t="str">
        <f t="shared" si="2"/>
        <v>-</v>
      </c>
      <c r="L15">
        <v>3.9E-2</v>
      </c>
      <c r="M15">
        <v>20.7</v>
      </c>
      <c r="N15" t="str">
        <f t="shared" si="3"/>
        <v>-</v>
      </c>
      <c r="O15" s="1">
        <v>0.86</v>
      </c>
      <c r="P15">
        <v>29</v>
      </c>
      <c r="Q15" t="str">
        <f t="shared" si="4"/>
        <v>-</v>
      </c>
      <c r="R15">
        <v>4.7E-2</v>
      </c>
      <c r="S15">
        <v>26.1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0.32</v>
      </c>
      <c r="D16">
        <v>66.7</v>
      </c>
      <c r="E16" t="str">
        <f t="shared" si="0"/>
        <v>?</v>
      </c>
      <c r="F16">
        <v>-8.9999999999999993E-3</v>
      </c>
      <c r="G16">
        <v>-15.3</v>
      </c>
      <c r="H16" t="str">
        <f t="shared" si="1"/>
        <v>-</v>
      </c>
      <c r="I16" s="1">
        <v>0.27</v>
      </c>
      <c r="J16">
        <v>54</v>
      </c>
      <c r="K16" t="str">
        <f t="shared" si="2"/>
        <v>?</v>
      </c>
      <c r="L16">
        <v>-2E-3</v>
      </c>
      <c r="M16">
        <v>-3.8</v>
      </c>
      <c r="N16" t="str">
        <f t="shared" si="3"/>
        <v>-</v>
      </c>
      <c r="O16" s="1">
        <v>0.08</v>
      </c>
      <c r="P16">
        <v>11.4</v>
      </c>
      <c r="Q16" t="str">
        <f t="shared" si="4"/>
        <v>-</v>
      </c>
      <c r="R16">
        <v>-1E-3</v>
      </c>
      <c r="S16">
        <v>-1.9</v>
      </c>
      <c r="T16" s="2" t="str">
        <f t="shared" si="5"/>
        <v>-</v>
      </c>
    </row>
    <row r="17" spans="1:20">
      <c r="A17" s="11" t="s">
        <v>9</v>
      </c>
      <c r="B17" s="12" t="s">
        <v>16</v>
      </c>
      <c r="C17">
        <v>-0.24</v>
      </c>
      <c r="D17">
        <v>-14.8</v>
      </c>
      <c r="E17" t="str">
        <f t="shared" si="0"/>
        <v>-</v>
      </c>
      <c r="F17">
        <v>8.0000000000000002E-3</v>
      </c>
      <c r="G17">
        <v>6.4</v>
      </c>
      <c r="H17" t="str">
        <f t="shared" si="1"/>
        <v>-</v>
      </c>
      <c r="I17" s="1">
        <v>-0.27</v>
      </c>
      <c r="J17">
        <v>-19</v>
      </c>
      <c r="K17" t="str">
        <f t="shared" si="2"/>
        <v>-</v>
      </c>
      <c r="L17">
        <v>-1.9E-2</v>
      </c>
      <c r="M17">
        <v>-15.3</v>
      </c>
      <c r="N17" t="str">
        <f t="shared" si="3"/>
        <v>-</v>
      </c>
      <c r="O17" s="1">
        <v>-0.27</v>
      </c>
      <c r="P17">
        <v>-19.3</v>
      </c>
      <c r="Q17" t="str">
        <f t="shared" si="4"/>
        <v>-</v>
      </c>
      <c r="R17">
        <v>-0.02</v>
      </c>
      <c r="S17">
        <v>-16.3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-0.15</v>
      </c>
      <c r="D18">
        <v>-11.5</v>
      </c>
      <c r="E18" t="str">
        <f t="shared" si="0"/>
        <v>-</v>
      </c>
      <c r="F18">
        <v>1.6E-2</v>
      </c>
      <c r="G18">
        <v>17.399999999999999</v>
      </c>
      <c r="H18" t="str">
        <f t="shared" si="1"/>
        <v>-</v>
      </c>
      <c r="I18" s="1">
        <v>-0.25</v>
      </c>
      <c r="J18">
        <v>-18.899999999999999</v>
      </c>
      <c r="K18" t="str">
        <f t="shared" si="2"/>
        <v>-</v>
      </c>
      <c r="L18">
        <v>-0.01</v>
      </c>
      <c r="M18">
        <v>-8.6999999999999993</v>
      </c>
      <c r="N18" t="str">
        <f t="shared" si="3"/>
        <v>-</v>
      </c>
      <c r="O18" s="1">
        <v>-0.14000000000000001</v>
      </c>
      <c r="P18">
        <v>-11.8</v>
      </c>
      <c r="Q18" t="str">
        <f t="shared" si="4"/>
        <v>-</v>
      </c>
      <c r="R18">
        <v>3.0000000000000001E-3</v>
      </c>
      <c r="S18">
        <v>3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0.48</v>
      </c>
      <c r="D19">
        <v>17.5</v>
      </c>
      <c r="E19" t="str">
        <f t="shared" si="0"/>
        <v>-</v>
      </c>
      <c r="F19">
        <v>2.1999999999999999E-2</v>
      </c>
      <c r="G19">
        <v>12.2</v>
      </c>
      <c r="H19" t="str">
        <f t="shared" si="1"/>
        <v>-</v>
      </c>
      <c r="I19" s="1">
        <v>0.36</v>
      </c>
      <c r="J19">
        <v>12.7</v>
      </c>
      <c r="K19" t="str">
        <f t="shared" si="2"/>
        <v>-</v>
      </c>
      <c r="L19">
        <v>-6.0000000000000001E-3</v>
      </c>
      <c r="M19">
        <v>-3.1</v>
      </c>
      <c r="N19" t="str">
        <f t="shared" si="3"/>
        <v>-</v>
      </c>
      <c r="O19" s="1">
        <v>0.65</v>
      </c>
      <c r="P19">
        <v>25.4</v>
      </c>
      <c r="Q19" t="str">
        <f t="shared" si="4"/>
        <v>-</v>
      </c>
      <c r="R19">
        <v>8.0000000000000002E-3</v>
      </c>
      <c r="S19">
        <v>4.4000000000000004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0.51</v>
      </c>
      <c r="D20">
        <v>113.3</v>
      </c>
      <c r="E20" t="str">
        <f t="shared" si="0"/>
        <v>?</v>
      </c>
      <c r="F20">
        <v>2.3E-2</v>
      </c>
      <c r="G20">
        <v>42.6</v>
      </c>
      <c r="H20" t="str">
        <f t="shared" si="1"/>
        <v>-</v>
      </c>
      <c r="I20" s="1">
        <v>0.27</v>
      </c>
      <c r="J20">
        <v>55.1</v>
      </c>
      <c r="K20" t="str">
        <f t="shared" si="2"/>
        <v>?</v>
      </c>
      <c r="L20">
        <v>-1.4999999999999999E-2</v>
      </c>
      <c r="M20">
        <v>-26.3</v>
      </c>
      <c r="N20" t="str">
        <f t="shared" si="3"/>
        <v>-</v>
      </c>
      <c r="O20" s="1">
        <v>0.33</v>
      </c>
      <c r="P20">
        <v>49.3</v>
      </c>
      <c r="Q20" t="str">
        <f t="shared" si="4"/>
        <v>-</v>
      </c>
      <c r="R20">
        <v>-3.0000000000000001E-3</v>
      </c>
      <c r="S20">
        <v>-5.4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-0.01</v>
      </c>
      <c r="D21">
        <v>-0.7</v>
      </c>
      <c r="E21" t="str">
        <f t="shared" si="0"/>
        <v>-</v>
      </c>
      <c r="F21">
        <v>1.2999999999999999E-2</v>
      </c>
      <c r="G21">
        <v>11.9</v>
      </c>
      <c r="H21" t="str">
        <f t="shared" si="1"/>
        <v>-</v>
      </c>
      <c r="I21" s="1">
        <v>-0.13</v>
      </c>
      <c r="J21">
        <v>-9.9</v>
      </c>
      <c r="K21" t="str">
        <f t="shared" si="2"/>
        <v>-</v>
      </c>
      <c r="L21">
        <v>-1.0999999999999999E-2</v>
      </c>
      <c r="M21">
        <v>-9.6</v>
      </c>
      <c r="N21" t="str">
        <f t="shared" si="3"/>
        <v>-</v>
      </c>
      <c r="O21" s="1">
        <v>-0.11</v>
      </c>
      <c r="P21">
        <v>-8.9</v>
      </c>
      <c r="Q21" t="str">
        <f t="shared" si="4"/>
        <v>-</v>
      </c>
      <c r="R21">
        <v>-4.0000000000000001E-3</v>
      </c>
      <c r="S21">
        <v>-3.6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0.04</v>
      </c>
      <c r="D22">
        <v>3.4</v>
      </c>
      <c r="E22" t="str">
        <f t="shared" si="0"/>
        <v>-</v>
      </c>
      <c r="F22">
        <v>0.01</v>
      </c>
      <c r="G22">
        <v>10.4</v>
      </c>
      <c r="H22" t="str">
        <f t="shared" si="1"/>
        <v>-</v>
      </c>
      <c r="I22" s="1">
        <v>-0.04</v>
      </c>
      <c r="J22">
        <v>-3.7</v>
      </c>
      <c r="K22" t="str">
        <f t="shared" si="2"/>
        <v>-</v>
      </c>
      <c r="L22">
        <v>1E-3</v>
      </c>
      <c r="M22">
        <v>1.1000000000000001</v>
      </c>
      <c r="N22" t="str">
        <f t="shared" si="3"/>
        <v>-</v>
      </c>
      <c r="O22" s="1">
        <v>-0.15</v>
      </c>
      <c r="P22">
        <v>-13.3</v>
      </c>
      <c r="Q22" t="str">
        <f t="shared" si="4"/>
        <v>-</v>
      </c>
      <c r="R22">
        <v>1.0999999999999999E-2</v>
      </c>
      <c r="S22">
        <v>13.4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-0.4</v>
      </c>
      <c r="D23">
        <v>-9.5</v>
      </c>
      <c r="E23" t="str">
        <f t="shared" si="0"/>
        <v>-</v>
      </c>
      <c r="F23">
        <v>-1.7999999999999999E-2</v>
      </c>
      <c r="G23">
        <v>-7.8</v>
      </c>
      <c r="H23" t="str">
        <f t="shared" si="1"/>
        <v>-</v>
      </c>
      <c r="I23" s="1">
        <v>-0.35</v>
      </c>
      <c r="J23">
        <v>-9.1</v>
      </c>
      <c r="K23" t="str">
        <f t="shared" si="2"/>
        <v>-</v>
      </c>
      <c r="L23">
        <v>-1.2E-2</v>
      </c>
      <c r="M23">
        <v>-6</v>
      </c>
      <c r="N23" t="str">
        <f t="shared" si="3"/>
        <v>-</v>
      </c>
      <c r="O23" s="1">
        <v>-0.05</v>
      </c>
      <c r="P23">
        <v>-1.4</v>
      </c>
      <c r="Q23" t="str">
        <f t="shared" si="4"/>
        <v>-</v>
      </c>
      <c r="R23">
        <v>8.0000000000000002E-3</v>
      </c>
      <c r="S23">
        <v>4.4000000000000004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0.04</v>
      </c>
      <c r="D24">
        <v>5.2</v>
      </c>
      <c r="E24" t="str">
        <f t="shared" si="0"/>
        <v>-</v>
      </c>
      <c r="F24">
        <v>0.02</v>
      </c>
      <c r="G24">
        <v>44.4</v>
      </c>
      <c r="H24" t="str">
        <f t="shared" si="1"/>
        <v>-</v>
      </c>
      <c r="I24" s="1">
        <v>0.23</v>
      </c>
      <c r="J24">
        <v>48.9</v>
      </c>
      <c r="K24" t="str">
        <f t="shared" si="2"/>
        <v>-</v>
      </c>
      <c r="L24">
        <v>-1.2E-2</v>
      </c>
      <c r="M24">
        <v>-21.1</v>
      </c>
      <c r="N24" t="str">
        <f t="shared" si="3"/>
        <v>-</v>
      </c>
      <c r="O24" s="1">
        <v>0.14000000000000001</v>
      </c>
      <c r="P24">
        <v>20.9</v>
      </c>
      <c r="Q24" t="str">
        <f t="shared" si="4"/>
        <v>-</v>
      </c>
      <c r="R24">
        <v>1.4999999999999999E-2</v>
      </c>
      <c r="S24">
        <v>33.299999999999997</v>
      </c>
      <c r="T24" s="2" t="str">
        <f t="shared" si="5"/>
        <v>-</v>
      </c>
    </row>
    <row r="25" spans="1:20">
      <c r="A25" s="11" t="s">
        <v>9</v>
      </c>
      <c r="B25" s="12" t="s">
        <v>18</v>
      </c>
      <c r="C25">
        <v>-0.34</v>
      </c>
      <c r="D25">
        <v>-21.7</v>
      </c>
      <c r="E25" t="str">
        <f t="shared" si="0"/>
        <v>-</v>
      </c>
      <c r="F25">
        <v>-2.1999999999999999E-2</v>
      </c>
      <c r="G25">
        <v>-15.8</v>
      </c>
      <c r="H25" t="str">
        <f t="shared" si="1"/>
        <v>-</v>
      </c>
      <c r="I25" s="1">
        <v>-0.28999999999999998</v>
      </c>
      <c r="J25">
        <v>-18.7</v>
      </c>
      <c r="K25" t="str">
        <f t="shared" si="2"/>
        <v>-</v>
      </c>
      <c r="L25">
        <v>4.0000000000000001E-3</v>
      </c>
      <c r="M25">
        <v>3.4</v>
      </c>
      <c r="N25" t="str">
        <f t="shared" si="3"/>
        <v>-</v>
      </c>
      <c r="O25" s="1">
        <v>-0.11</v>
      </c>
      <c r="P25">
        <v>-8.3000000000000007</v>
      </c>
      <c r="Q25" t="str">
        <f t="shared" si="4"/>
        <v>-</v>
      </c>
      <c r="R25">
        <v>0.01</v>
      </c>
      <c r="S25">
        <v>8.8000000000000007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0.09</v>
      </c>
      <c r="D26">
        <v>6.6</v>
      </c>
      <c r="E26" t="str">
        <f t="shared" si="0"/>
        <v>-</v>
      </c>
      <c r="F26">
        <v>1.6E-2</v>
      </c>
      <c r="G26">
        <v>15.7</v>
      </c>
      <c r="H26" t="str">
        <f t="shared" si="1"/>
        <v>-</v>
      </c>
      <c r="I26" s="1">
        <v>-0.64</v>
      </c>
      <c r="J26">
        <v>-41.6</v>
      </c>
      <c r="K26" t="str">
        <f t="shared" si="2"/>
        <v>-</v>
      </c>
      <c r="L26">
        <v>-1.9E-2</v>
      </c>
      <c r="M26">
        <v>-18.399999999999999</v>
      </c>
      <c r="N26" t="str">
        <f t="shared" si="3"/>
        <v>-</v>
      </c>
      <c r="O26" s="1">
        <v>-0.35</v>
      </c>
      <c r="P26">
        <v>-22</v>
      </c>
      <c r="Q26" t="str">
        <f t="shared" si="4"/>
        <v>-</v>
      </c>
      <c r="R26">
        <v>2.3E-2</v>
      </c>
      <c r="S26">
        <v>24.2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-0.91</v>
      </c>
      <c r="D27">
        <v>-25.1</v>
      </c>
      <c r="E27" t="str">
        <f t="shared" si="0"/>
        <v>-</v>
      </c>
      <c r="F27">
        <v>-3.5000000000000003E-2</v>
      </c>
      <c r="G27">
        <v>-15.8</v>
      </c>
      <c r="H27" t="str">
        <f t="shared" si="1"/>
        <v>-</v>
      </c>
      <c r="I27" s="1">
        <v>-1.21</v>
      </c>
      <c r="J27">
        <v>-33.1</v>
      </c>
      <c r="K27" t="str">
        <f t="shared" si="2"/>
        <v>-</v>
      </c>
      <c r="L27">
        <v>-2.9000000000000001E-2</v>
      </c>
      <c r="M27">
        <v>-15.3</v>
      </c>
      <c r="N27" t="str">
        <f t="shared" si="3"/>
        <v>-</v>
      </c>
      <c r="O27" s="1">
        <v>-1.34</v>
      </c>
      <c r="P27">
        <v>-37.200000000000003</v>
      </c>
      <c r="Q27" t="str">
        <f t="shared" si="4"/>
        <v>-</v>
      </c>
      <c r="R27">
        <v>-0.03</v>
      </c>
      <c r="S27">
        <v>-16.100000000000001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0.21</v>
      </c>
      <c r="D28">
        <v>30.9</v>
      </c>
      <c r="E28" t="str">
        <f t="shared" si="0"/>
        <v>-</v>
      </c>
      <c r="F28">
        <v>4.2000000000000003E-2</v>
      </c>
      <c r="G28">
        <v>107.7</v>
      </c>
      <c r="H28" t="str">
        <f t="shared" si="1"/>
        <v>?</v>
      </c>
      <c r="I28" s="1">
        <v>0.24</v>
      </c>
      <c r="J28">
        <v>30.8</v>
      </c>
      <c r="K28" t="str">
        <f t="shared" si="2"/>
        <v>-</v>
      </c>
      <c r="L28">
        <v>5.3999999999999999E-2</v>
      </c>
      <c r="M28">
        <v>87.1</v>
      </c>
      <c r="N28" t="str">
        <f t="shared" si="3"/>
        <v>?</v>
      </c>
      <c r="O28" s="1">
        <v>0.3</v>
      </c>
      <c r="P28">
        <v>44.8</v>
      </c>
      <c r="Q28" t="str">
        <f t="shared" si="4"/>
        <v>-</v>
      </c>
      <c r="R28">
        <v>7.3999999999999996E-2</v>
      </c>
      <c r="S28">
        <v>194.7</v>
      </c>
      <c r="T28" s="2" t="str">
        <f t="shared" si="5"/>
        <v>?</v>
      </c>
    </row>
    <row r="29" spans="1:20">
      <c r="A29" s="11" t="s">
        <v>9</v>
      </c>
      <c r="B29" s="13">
        <v>0.4</v>
      </c>
      <c r="C29">
        <v>-0.13</v>
      </c>
      <c r="D29">
        <v>-9.6999999999999993</v>
      </c>
      <c r="E29" t="str">
        <f t="shared" si="0"/>
        <v>-</v>
      </c>
      <c r="F29">
        <v>7.0000000000000001E-3</v>
      </c>
      <c r="G29">
        <v>6.1</v>
      </c>
      <c r="H29" t="str">
        <f t="shared" si="1"/>
        <v>-</v>
      </c>
      <c r="I29" s="1">
        <v>-0.12</v>
      </c>
      <c r="J29">
        <v>-10.9</v>
      </c>
      <c r="K29" t="str">
        <f t="shared" si="2"/>
        <v>-</v>
      </c>
      <c r="L29">
        <v>-1.4E-2</v>
      </c>
      <c r="M29">
        <v>-14</v>
      </c>
      <c r="N29" t="str">
        <f t="shared" si="3"/>
        <v>-</v>
      </c>
      <c r="O29" s="1">
        <v>-7.0000000000000007E-2</v>
      </c>
      <c r="P29">
        <v>-6.4</v>
      </c>
      <c r="Q29" t="str">
        <f t="shared" si="4"/>
        <v>-</v>
      </c>
      <c r="R29">
        <v>-1.2E-2</v>
      </c>
      <c r="S29">
        <v>-12.1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0.14000000000000001</v>
      </c>
      <c r="D30">
        <v>11.8</v>
      </c>
      <c r="E30" t="str">
        <f t="shared" si="0"/>
        <v>-</v>
      </c>
      <c r="F30">
        <v>2.5999999999999999E-2</v>
      </c>
      <c r="G30">
        <v>24.5</v>
      </c>
      <c r="H30" t="str">
        <f t="shared" si="1"/>
        <v>-</v>
      </c>
      <c r="I30" s="1">
        <v>-0.1</v>
      </c>
      <c r="J30">
        <v>-10.3</v>
      </c>
      <c r="K30" t="str">
        <f t="shared" si="2"/>
        <v>-</v>
      </c>
      <c r="L30">
        <v>8.9999999999999993E-3</v>
      </c>
      <c r="M30">
        <v>11.2</v>
      </c>
      <c r="N30" t="str">
        <f t="shared" si="3"/>
        <v>-</v>
      </c>
      <c r="O30" s="1">
        <v>-7.0000000000000007E-2</v>
      </c>
      <c r="P30">
        <v>-6.5</v>
      </c>
      <c r="Q30" t="str">
        <f t="shared" si="4"/>
        <v>-</v>
      </c>
      <c r="R30">
        <v>-7.0000000000000001E-3</v>
      </c>
      <c r="S30">
        <v>-7.6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-0.76</v>
      </c>
      <c r="D31">
        <v>-26.3</v>
      </c>
      <c r="E31" t="str">
        <f t="shared" si="0"/>
        <v>-</v>
      </c>
      <c r="F31">
        <v>-7.0000000000000001E-3</v>
      </c>
      <c r="G31">
        <v>-4</v>
      </c>
      <c r="H31" t="str">
        <f t="shared" si="1"/>
        <v>-</v>
      </c>
      <c r="I31" s="1">
        <v>-1.25</v>
      </c>
      <c r="J31">
        <v>-39.6</v>
      </c>
      <c r="K31" t="str">
        <f t="shared" si="2"/>
        <v>-</v>
      </c>
      <c r="L31">
        <v>-5.8000000000000003E-2</v>
      </c>
      <c r="M31">
        <v>-32.4</v>
      </c>
      <c r="N31" t="str">
        <f t="shared" si="3"/>
        <v>-</v>
      </c>
      <c r="O31" s="1">
        <v>-1.27</v>
      </c>
      <c r="P31">
        <v>-37.799999999999997</v>
      </c>
      <c r="Q31" t="str">
        <f t="shared" si="4"/>
        <v>-</v>
      </c>
      <c r="R31">
        <v>-6.8000000000000005E-2</v>
      </c>
      <c r="S31">
        <v>-35.4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0.47</v>
      </c>
      <c r="D32">
        <v>54</v>
      </c>
      <c r="E32" t="str">
        <f t="shared" si="0"/>
        <v>?</v>
      </c>
      <c r="F32">
        <v>7.0000000000000007E-2</v>
      </c>
      <c r="G32">
        <v>114.8</v>
      </c>
      <c r="H32" t="str">
        <f t="shared" si="1"/>
        <v>?</v>
      </c>
      <c r="I32" s="1">
        <v>0.05</v>
      </c>
      <c r="J32">
        <v>8.1</v>
      </c>
      <c r="K32" t="str">
        <f t="shared" si="2"/>
        <v>-</v>
      </c>
      <c r="L32">
        <v>-2E-3</v>
      </c>
      <c r="M32">
        <v>-3</v>
      </c>
      <c r="N32" t="str">
        <f t="shared" si="3"/>
        <v>-</v>
      </c>
      <c r="O32" s="1">
        <v>0.36</v>
      </c>
      <c r="P32">
        <v>64.3</v>
      </c>
      <c r="Q32" t="str">
        <f t="shared" si="4"/>
        <v>?</v>
      </c>
      <c r="R32">
        <v>4.2999999999999997E-2</v>
      </c>
      <c r="S32">
        <v>78.2</v>
      </c>
      <c r="T32" s="2" t="str">
        <f t="shared" si="5"/>
        <v>?</v>
      </c>
    </row>
    <row r="33" spans="1:20">
      <c r="A33" s="11" t="s">
        <v>9</v>
      </c>
      <c r="B33" s="13">
        <v>0.5</v>
      </c>
      <c r="C33">
        <v>-0.17</v>
      </c>
      <c r="D33">
        <v>-11.7</v>
      </c>
      <c r="E33" t="str">
        <f t="shared" si="0"/>
        <v>-</v>
      </c>
      <c r="F33">
        <v>-1.2999999999999999E-2</v>
      </c>
      <c r="G33">
        <v>-9.8000000000000007</v>
      </c>
      <c r="H33" t="str">
        <f t="shared" si="1"/>
        <v>-</v>
      </c>
      <c r="I33" s="1">
        <v>-0.15</v>
      </c>
      <c r="J33">
        <v>-11.4</v>
      </c>
      <c r="K33" t="str">
        <f t="shared" si="2"/>
        <v>-</v>
      </c>
      <c r="L33">
        <v>-8.0000000000000002E-3</v>
      </c>
      <c r="M33">
        <v>-6.7</v>
      </c>
      <c r="N33" t="str">
        <f t="shared" si="3"/>
        <v>-</v>
      </c>
      <c r="O33" s="1">
        <v>-0.3</v>
      </c>
      <c r="P33">
        <v>-22.7</v>
      </c>
      <c r="Q33" t="str">
        <f t="shared" si="4"/>
        <v>-</v>
      </c>
      <c r="R33">
        <v>-2.5999999999999999E-2</v>
      </c>
      <c r="S33">
        <v>-22.4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0.12</v>
      </c>
      <c r="D34">
        <v>9.9</v>
      </c>
      <c r="E34" t="str">
        <f t="shared" si="0"/>
        <v>-</v>
      </c>
      <c r="F34">
        <v>1.6E-2</v>
      </c>
      <c r="G34">
        <v>15.1</v>
      </c>
      <c r="H34" t="str">
        <f t="shared" si="1"/>
        <v>-</v>
      </c>
      <c r="I34" s="1">
        <v>-0.08</v>
      </c>
      <c r="J34">
        <v>-7.8</v>
      </c>
      <c r="K34" t="str">
        <f t="shared" si="2"/>
        <v>-</v>
      </c>
      <c r="L34">
        <v>-2E-3</v>
      </c>
      <c r="M34">
        <v>-2.2999999999999998</v>
      </c>
      <c r="N34" t="str">
        <f t="shared" si="3"/>
        <v>-</v>
      </c>
      <c r="O34" s="1">
        <v>-0.24</v>
      </c>
      <c r="P34">
        <v>-20.7</v>
      </c>
      <c r="Q34" t="str">
        <f t="shared" si="4"/>
        <v>-</v>
      </c>
      <c r="R34">
        <v>5.0000000000000001E-3</v>
      </c>
      <c r="S34">
        <v>6.1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-0.73</v>
      </c>
      <c r="D35">
        <v>-21.9</v>
      </c>
      <c r="E35" t="str">
        <f t="shared" si="0"/>
        <v>-</v>
      </c>
      <c r="F35">
        <v>-5.3999999999999999E-2</v>
      </c>
      <c r="G35">
        <v>-27.4</v>
      </c>
      <c r="H35" t="str">
        <f t="shared" si="1"/>
        <v>-</v>
      </c>
      <c r="I35" s="1">
        <v>0.06</v>
      </c>
      <c r="J35">
        <v>2.1</v>
      </c>
      <c r="K35" t="str">
        <f t="shared" si="2"/>
        <v>-</v>
      </c>
      <c r="L35">
        <v>-2E-3</v>
      </c>
      <c r="M35">
        <v>-1.4</v>
      </c>
      <c r="N35" t="str">
        <f t="shared" si="3"/>
        <v>-</v>
      </c>
      <c r="O35" s="1">
        <v>0.23</v>
      </c>
      <c r="P35">
        <v>7.8</v>
      </c>
      <c r="Q35" t="str">
        <f t="shared" si="4"/>
        <v>-</v>
      </c>
      <c r="R35">
        <v>-0.01</v>
      </c>
      <c r="S35">
        <v>-6.3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0.39</v>
      </c>
      <c r="D36">
        <v>60.9</v>
      </c>
      <c r="E36" t="str">
        <f t="shared" si="0"/>
        <v>?</v>
      </c>
      <c r="F36">
        <v>6.5000000000000002E-2</v>
      </c>
      <c r="G36">
        <v>127.5</v>
      </c>
      <c r="H36" t="str">
        <f t="shared" si="1"/>
        <v>?</v>
      </c>
      <c r="I36" s="1">
        <v>-0.03</v>
      </c>
      <c r="J36">
        <v>-3.5</v>
      </c>
      <c r="K36" t="str">
        <f t="shared" si="2"/>
        <v>-</v>
      </c>
      <c r="L36">
        <v>-2.8000000000000001E-2</v>
      </c>
      <c r="M36">
        <v>-32.200000000000003</v>
      </c>
      <c r="N36" t="str">
        <f t="shared" si="3"/>
        <v>-</v>
      </c>
      <c r="O36" s="1">
        <v>0.34</v>
      </c>
      <c r="P36">
        <v>47.2</v>
      </c>
      <c r="Q36" t="str">
        <f t="shared" si="4"/>
        <v>-</v>
      </c>
      <c r="R36">
        <v>6.8000000000000005E-2</v>
      </c>
      <c r="S36">
        <v>104.6</v>
      </c>
      <c r="T36" s="2" t="str">
        <f t="shared" si="5"/>
        <v>?</v>
      </c>
    </row>
    <row r="37" spans="1:20">
      <c r="A37" s="11" t="s">
        <v>9</v>
      </c>
      <c r="B37" s="13">
        <v>0.6</v>
      </c>
      <c r="C37">
        <v>-0.25</v>
      </c>
      <c r="D37">
        <v>-16</v>
      </c>
      <c r="E37" t="str">
        <f t="shared" si="0"/>
        <v>-</v>
      </c>
      <c r="F37">
        <v>-1.4999999999999999E-2</v>
      </c>
      <c r="G37">
        <v>-11</v>
      </c>
      <c r="H37" t="str">
        <f t="shared" si="1"/>
        <v>-</v>
      </c>
      <c r="I37" s="1">
        <v>-0.23</v>
      </c>
      <c r="J37">
        <v>-15.4</v>
      </c>
      <c r="K37" t="str">
        <f t="shared" si="2"/>
        <v>-</v>
      </c>
      <c r="L37">
        <v>-1.7000000000000001E-2</v>
      </c>
      <c r="M37">
        <v>-12.6</v>
      </c>
      <c r="N37" t="str">
        <f t="shared" si="3"/>
        <v>-</v>
      </c>
      <c r="O37" s="1">
        <v>-0.24</v>
      </c>
      <c r="P37">
        <v>-16.2</v>
      </c>
      <c r="Q37" t="str">
        <f t="shared" si="4"/>
        <v>-</v>
      </c>
      <c r="R37">
        <v>-2.5000000000000001E-2</v>
      </c>
      <c r="S37">
        <v>-18.8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-0.3</v>
      </c>
      <c r="D38">
        <v>-21.3</v>
      </c>
      <c r="E38" t="str">
        <f t="shared" si="0"/>
        <v>-</v>
      </c>
      <c r="F38">
        <v>-2.3E-2</v>
      </c>
      <c r="G38">
        <v>-20.5</v>
      </c>
      <c r="H38" t="str">
        <f t="shared" si="1"/>
        <v>-</v>
      </c>
      <c r="I38" s="1">
        <v>-0.05</v>
      </c>
      <c r="J38">
        <v>-4.3</v>
      </c>
      <c r="K38" t="str">
        <f t="shared" si="2"/>
        <v>-</v>
      </c>
      <c r="L38">
        <v>-5.0000000000000001E-3</v>
      </c>
      <c r="M38">
        <v>-5</v>
      </c>
      <c r="N38" t="str">
        <f t="shared" si="3"/>
        <v>-</v>
      </c>
      <c r="O38" s="1">
        <v>-0.1</v>
      </c>
      <c r="P38">
        <v>-8.3000000000000007</v>
      </c>
      <c r="Q38" t="str">
        <f t="shared" si="4"/>
        <v>-</v>
      </c>
      <c r="R38">
        <v>4.0000000000000001E-3</v>
      </c>
      <c r="S38">
        <v>4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-0.21</v>
      </c>
      <c r="D39">
        <v>-5.9</v>
      </c>
      <c r="E39" t="str">
        <f t="shared" si="0"/>
        <v>-</v>
      </c>
      <c r="F39">
        <v>-8.9999999999999993E-3</v>
      </c>
      <c r="G39">
        <v>-4.2</v>
      </c>
      <c r="H39" t="str">
        <f t="shared" si="1"/>
        <v>-</v>
      </c>
      <c r="I39" s="1">
        <v>-0.01</v>
      </c>
      <c r="J39">
        <v>-0.3</v>
      </c>
      <c r="K39" t="str">
        <f t="shared" si="2"/>
        <v>-</v>
      </c>
      <c r="L39">
        <v>-1.6E-2</v>
      </c>
      <c r="M39">
        <v>-9.5</v>
      </c>
      <c r="N39" t="str">
        <f t="shared" si="3"/>
        <v>-</v>
      </c>
      <c r="O39" s="1">
        <v>0.09</v>
      </c>
      <c r="P39">
        <v>2.9</v>
      </c>
      <c r="Q39" t="str">
        <f t="shared" si="4"/>
        <v>-</v>
      </c>
      <c r="R39">
        <v>-1E-3</v>
      </c>
      <c r="S39">
        <v>-0.6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0.71</v>
      </c>
      <c r="D40">
        <v>126.8</v>
      </c>
      <c r="E40" t="str">
        <f t="shared" si="0"/>
        <v>?</v>
      </c>
      <c r="F40">
        <v>7.9000000000000001E-2</v>
      </c>
      <c r="G40">
        <v>149.1</v>
      </c>
      <c r="H40" t="str">
        <f t="shared" si="1"/>
        <v>?</v>
      </c>
      <c r="I40" s="1">
        <v>0.42</v>
      </c>
      <c r="J40">
        <v>89.4</v>
      </c>
      <c r="K40" t="str">
        <f t="shared" si="2"/>
        <v>?</v>
      </c>
      <c r="L40">
        <v>2.3E-2</v>
      </c>
      <c r="M40">
        <v>51.1</v>
      </c>
      <c r="N40" t="str">
        <f t="shared" si="3"/>
        <v>?</v>
      </c>
      <c r="O40" s="1">
        <v>0.34</v>
      </c>
      <c r="P40">
        <v>53.1</v>
      </c>
      <c r="Q40" t="str">
        <f t="shared" si="4"/>
        <v>?</v>
      </c>
      <c r="R40">
        <v>2E-3</v>
      </c>
      <c r="S40">
        <v>4.2</v>
      </c>
      <c r="T40" s="2" t="str">
        <f t="shared" si="5"/>
        <v>-</v>
      </c>
    </row>
    <row r="41" spans="1:20">
      <c r="A41" s="11" t="s">
        <v>9</v>
      </c>
      <c r="B41" s="13">
        <v>0.7</v>
      </c>
      <c r="C41">
        <v>-0.49</v>
      </c>
      <c r="D41">
        <v>-26.5</v>
      </c>
      <c r="E41" t="str">
        <f t="shared" si="0"/>
        <v>-</v>
      </c>
      <c r="F41">
        <v>7.0000000000000001E-3</v>
      </c>
      <c r="G41">
        <v>5.4</v>
      </c>
      <c r="H41" t="str">
        <f t="shared" si="1"/>
        <v>-</v>
      </c>
      <c r="I41" s="1">
        <v>-0.51</v>
      </c>
      <c r="J41">
        <v>-27.3</v>
      </c>
      <c r="K41" t="str">
        <f t="shared" si="2"/>
        <v>-</v>
      </c>
      <c r="L41">
        <v>-2.7E-2</v>
      </c>
      <c r="M41">
        <v>-17.8</v>
      </c>
      <c r="N41" t="str">
        <f t="shared" si="3"/>
        <v>-</v>
      </c>
      <c r="O41" s="1">
        <v>-0.43</v>
      </c>
      <c r="P41">
        <v>-23.9</v>
      </c>
      <c r="Q41" t="str">
        <f t="shared" si="4"/>
        <v>-</v>
      </c>
      <c r="R41">
        <v>-1.7999999999999999E-2</v>
      </c>
      <c r="S41">
        <v>-12.2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-0.51</v>
      </c>
      <c r="D42">
        <v>-30.7</v>
      </c>
      <c r="E42" t="str">
        <f t="shared" si="0"/>
        <v>-</v>
      </c>
      <c r="F42">
        <v>-3.0000000000000001E-3</v>
      </c>
      <c r="G42">
        <v>-2.8</v>
      </c>
      <c r="H42" t="str">
        <f t="shared" si="1"/>
        <v>-</v>
      </c>
      <c r="I42" s="1">
        <v>-0.45</v>
      </c>
      <c r="J42">
        <v>-29.6</v>
      </c>
      <c r="K42" t="str">
        <f t="shared" si="2"/>
        <v>-</v>
      </c>
      <c r="L42">
        <v>-3.0000000000000001E-3</v>
      </c>
      <c r="M42">
        <v>-3.1</v>
      </c>
      <c r="N42" t="str">
        <f t="shared" si="3"/>
        <v>-</v>
      </c>
      <c r="O42" s="1">
        <v>-0.49</v>
      </c>
      <c r="P42">
        <v>-30.6</v>
      </c>
      <c r="Q42" t="str">
        <f t="shared" si="4"/>
        <v>-</v>
      </c>
      <c r="R42">
        <v>-4.0000000000000001E-3</v>
      </c>
      <c r="S42">
        <v>-3.6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-0.61</v>
      </c>
      <c r="D43">
        <v>-12.7</v>
      </c>
      <c r="E43" t="str">
        <f t="shared" si="0"/>
        <v>-</v>
      </c>
      <c r="F43">
        <v>-5.0000000000000001E-3</v>
      </c>
      <c r="G43">
        <v>-2.1</v>
      </c>
      <c r="H43" t="str">
        <f t="shared" si="1"/>
        <v>-</v>
      </c>
      <c r="I43" s="1">
        <v>-0.53</v>
      </c>
      <c r="J43">
        <v>-12.1</v>
      </c>
      <c r="K43" t="str">
        <f t="shared" si="2"/>
        <v>-</v>
      </c>
      <c r="L43">
        <v>1.2999999999999999E-2</v>
      </c>
      <c r="M43">
        <v>6.2</v>
      </c>
      <c r="N43" t="str">
        <f t="shared" si="3"/>
        <v>-</v>
      </c>
      <c r="O43" s="1">
        <v>-0.45</v>
      </c>
      <c r="P43">
        <v>-10.4</v>
      </c>
      <c r="Q43" t="str">
        <f t="shared" si="4"/>
        <v>-</v>
      </c>
      <c r="R43">
        <v>1.6E-2</v>
      </c>
      <c r="S43">
        <v>7.7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0</v>
      </c>
      <c r="D44">
        <v>0</v>
      </c>
      <c r="E44" t="str">
        <f t="shared" si="0"/>
        <v>-</v>
      </c>
      <c r="F44">
        <v>-8.9999999999999993E-3</v>
      </c>
      <c r="G44">
        <v>-11.4</v>
      </c>
      <c r="H44" t="str">
        <f t="shared" si="1"/>
        <v>-</v>
      </c>
      <c r="I44" s="1">
        <v>0.64</v>
      </c>
      <c r="J44">
        <v>116.4</v>
      </c>
      <c r="K44" t="str">
        <f t="shared" si="2"/>
        <v>?</v>
      </c>
      <c r="L44">
        <v>0.02</v>
      </c>
      <c r="M44">
        <v>38.5</v>
      </c>
      <c r="N44" t="str">
        <f t="shared" si="3"/>
        <v>-</v>
      </c>
      <c r="O44" s="1">
        <v>0.28000000000000003</v>
      </c>
      <c r="P44">
        <v>31.8</v>
      </c>
      <c r="Q44" t="str">
        <f t="shared" si="4"/>
        <v>-</v>
      </c>
      <c r="R44">
        <v>-8.0000000000000002E-3</v>
      </c>
      <c r="S44">
        <v>-11.4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-1.0900000000000001</v>
      </c>
      <c r="D45">
        <v>-44.5</v>
      </c>
      <c r="E45" t="str">
        <f t="shared" si="0"/>
        <v>-</v>
      </c>
      <c r="F45">
        <v>2.3E-2</v>
      </c>
      <c r="G45">
        <v>17.7</v>
      </c>
      <c r="H45" t="str">
        <f t="shared" si="1"/>
        <v>-</v>
      </c>
      <c r="I45" s="1">
        <v>-0.37</v>
      </c>
      <c r="J45">
        <v>-15</v>
      </c>
      <c r="K45" t="str">
        <f t="shared" si="2"/>
        <v>-</v>
      </c>
      <c r="L45">
        <v>-7.0000000000000001E-3</v>
      </c>
      <c r="M45">
        <v>-4.3</v>
      </c>
      <c r="N45" t="str">
        <f t="shared" si="3"/>
        <v>-</v>
      </c>
      <c r="O45" s="1">
        <v>0.06</v>
      </c>
      <c r="P45">
        <v>2.4</v>
      </c>
      <c r="Q45" t="str">
        <f t="shared" si="4"/>
        <v>-</v>
      </c>
      <c r="R45">
        <v>5.0000000000000001E-3</v>
      </c>
      <c r="S45">
        <v>3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-0.71</v>
      </c>
      <c r="D46">
        <v>-33.299999999999997</v>
      </c>
      <c r="E46" t="str">
        <f t="shared" si="0"/>
        <v>-</v>
      </c>
      <c r="F46">
        <v>1.7000000000000001E-2</v>
      </c>
      <c r="G46">
        <v>21.5</v>
      </c>
      <c r="H46" t="str">
        <f t="shared" si="1"/>
        <v>-</v>
      </c>
      <c r="I46" s="1">
        <v>0.51</v>
      </c>
      <c r="J46">
        <v>25.1</v>
      </c>
      <c r="K46" t="str">
        <f t="shared" si="2"/>
        <v>-</v>
      </c>
      <c r="L46">
        <v>9.8000000000000004E-2</v>
      </c>
      <c r="M46">
        <v>88.3</v>
      </c>
      <c r="N46" t="str">
        <f t="shared" si="3"/>
        <v>?</v>
      </c>
      <c r="O46" s="1">
        <v>0.48</v>
      </c>
      <c r="P46">
        <v>22.4</v>
      </c>
      <c r="Q46" t="str">
        <f t="shared" si="4"/>
        <v>-</v>
      </c>
      <c r="R46">
        <v>0.105</v>
      </c>
      <c r="S46">
        <v>94.6</v>
      </c>
      <c r="T46" s="2" t="str">
        <f t="shared" si="5"/>
        <v>?</v>
      </c>
    </row>
    <row r="47" spans="1:20">
      <c r="A47" s="11" t="s">
        <v>12</v>
      </c>
      <c r="B47" s="13">
        <v>0.8</v>
      </c>
      <c r="C47">
        <v>-1.52</v>
      </c>
      <c r="D47">
        <v>-25.2</v>
      </c>
      <c r="E47" t="str">
        <f t="shared" si="0"/>
        <v>-</v>
      </c>
      <c r="F47">
        <v>-5.7000000000000002E-2</v>
      </c>
      <c r="G47">
        <v>-18.8</v>
      </c>
      <c r="H47" t="str">
        <f t="shared" si="1"/>
        <v>-</v>
      </c>
      <c r="I47" s="1">
        <v>1.62</v>
      </c>
      <c r="J47">
        <v>29.9</v>
      </c>
      <c r="K47" t="str">
        <f t="shared" si="2"/>
        <v>-</v>
      </c>
      <c r="L47">
        <v>-1.6E-2</v>
      </c>
      <c r="M47">
        <v>-6.3</v>
      </c>
      <c r="N47" t="str">
        <f t="shared" si="3"/>
        <v>-</v>
      </c>
      <c r="O47" s="1">
        <v>2.37</v>
      </c>
      <c r="P47">
        <v>45.2</v>
      </c>
      <c r="Q47" t="str">
        <f t="shared" si="4"/>
        <v>-</v>
      </c>
      <c r="R47">
        <v>3.0000000000000001E-3</v>
      </c>
      <c r="S47">
        <v>1.2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4.46</v>
      </c>
      <c r="D48">
        <v>420.8</v>
      </c>
      <c r="E48" t="str">
        <f t="shared" si="0"/>
        <v>?</v>
      </c>
      <c r="F48">
        <v>3.5999999999999997E-2</v>
      </c>
      <c r="G48">
        <v>37.1</v>
      </c>
      <c r="H48" t="str">
        <f t="shared" si="1"/>
        <v>-</v>
      </c>
      <c r="I48" s="1">
        <v>6.82</v>
      </c>
      <c r="J48">
        <v>749.5</v>
      </c>
      <c r="K48" t="str">
        <f t="shared" si="2"/>
        <v>?</v>
      </c>
      <c r="L48">
        <v>0.191</v>
      </c>
      <c r="M48">
        <v>313.10000000000002</v>
      </c>
      <c r="N48" t="str">
        <f t="shared" si="3"/>
        <v>?</v>
      </c>
      <c r="O48" s="1">
        <v>7.16</v>
      </c>
      <c r="P48">
        <v>862.7</v>
      </c>
      <c r="Q48" t="str">
        <f t="shared" si="4"/>
        <v>?</v>
      </c>
      <c r="R48">
        <v>0.183</v>
      </c>
      <c r="S48">
        <v>321.10000000000002</v>
      </c>
      <c r="T48" s="2" t="str">
        <f t="shared" si="5"/>
        <v>?</v>
      </c>
    </row>
    <row r="49" spans="1:20">
      <c r="A49" s="11" t="s">
        <v>9</v>
      </c>
      <c r="B49" s="13">
        <v>0.9</v>
      </c>
      <c r="C49">
        <v>8.15</v>
      </c>
      <c r="D49">
        <v>163</v>
      </c>
      <c r="E49" t="str">
        <f t="shared" si="0"/>
        <v>?</v>
      </c>
      <c r="F49">
        <v>0.443</v>
      </c>
      <c r="G49">
        <v>205.1</v>
      </c>
      <c r="H49" t="str">
        <f t="shared" si="1"/>
        <v>?</v>
      </c>
      <c r="I49" s="1">
        <v>8.9499999999999993</v>
      </c>
      <c r="J49">
        <v>174.5</v>
      </c>
      <c r="K49" t="str">
        <f t="shared" si="2"/>
        <v>?</v>
      </c>
      <c r="L49">
        <v>0.32500000000000001</v>
      </c>
      <c r="M49">
        <v>107.3</v>
      </c>
      <c r="N49" t="str">
        <f t="shared" si="3"/>
        <v>?</v>
      </c>
      <c r="O49" s="1">
        <v>8.8800000000000008</v>
      </c>
      <c r="P49">
        <v>172.8</v>
      </c>
      <c r="Q49" t="str">
        <f t="shared" si="4"/>
        <v>?</v>
      </c>
      <c r="R49">
        <v>0.33200000000000002</v>
      </c>
      <c r="S49">
        <v>111.4</v>
      </c>
      <c r="T49" s="2" t="str">
        <f t="shared" si="5"/>
        <v>?</v>
      </c>
    </row>
    <row r="50" spans="1:20">
      <c r="A50" s="11" t="s">
        <v>11</v>
      </c>
      <c r="B50" s="13">
        <v>0.9</v>
      </c>
      <c r="C50">
        <v>8.74</v>
      </c>
      <c r="D50">
        <v>214.7</v>
      </c>
      <c r="E50" t="str">
        <f t="shared" si="0"/>
        <v>?</v>
      </c>
      <c r="F50">
        <v>0.28199999999999997</v>
      </c>
      <c r="G50">
        <v>173</v>
      </c>
      <c r="H50" t="str">
        <f t="shared" si="1"/>
        <v>?</v>
      </c>
      <c r="I50" s="1">
        <v>8.0399999999999991</v>
      </c>
      <c r="J50">
        <v>198</v>
      </c>
      <c r="K50" t="str">
        <f t="shared" si="2"/>
        <v>?</v>
      </c>
      <c r="L50">
        <v>0.4</v>
      </c>
      <c r="M50">
        <v>224.7</v>
      </c>
      <c r="N50" t="str">
        <f t="shared" si="3"/>
        <v>?</v>
      </c>
      <c r="O50" s="1">
        <v>8.09</v>
      </c>
      <c r="P50">
        <v>201.7</v>
      </c>
      <c r="Q50" t="str">
        <f t="shared" si="4"/>
        <v>?</v>
      </c>
      <c r="R50">
        <v>0.4</v>
      </c>
      <c r="S50">
        <v>226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-1.83</v>
      </c>
      <c r="D51">
        <v>-16.7</v>
      </c>
      <c r="E51" t="str">
        <f t="shared" si="0"/>
        <v>-</v>
      </c>
      <c r="F51">
        <v>-0.115</v>
      </c>
      <c r="G51">
        <v>-28.3</v>
      </c>
      <c r="H51" t="str">
        <f t="shared" si="1"/>
        <v>-</v>
      </c>
      <c r="I51" s="1">
        <v>0.9</v>
      </c>
      <c r="J51">
        <v>8.6999999999999993</v>
      </c>
      <c r="K51" t="str">
        <f t="shared" si="2"/>
        <v>-</v>
      </c>
      <c r="L51">
        <v>0.20200000000000001</v>
      </c>
      <c r="M51">
        <v>48.1</v>
      </c>
      <c r="N51" t="str">
        <f t="shared" si="3"/>
        <v>-</v>
      </c>
      <c r="O51" s="1">
        <v>1.32</v>
      </c>
      <c r="P51">
        <v>13.2</v>
      </c>
      <c r="Q51" t="str">
        <f t="shared" si="4"/>
        <v>-</v>
      </c>
      <c r="R51">
        <v>0.20799999999999999</v>
      </c>
      <c r="S51">
        <v>51.6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13.68</v>
      </c>
      <c r="D52">
        <v>524.1</v>
      </c>
      <c r="E52" t="str">
        <f t="shared" si="0"/>
        <v>?</v>
      </c>
      <c r="F52">
        <v>0.41099999999999998</v>
      </c>
      <c r="G52">
        <v>441.9</v>
      </c>
      <c r="H52" t="str">
        <f t="shared" si="1"/>
        <v>?</v>
      </c>
      <c r="I52" s="1">
        <v>13.72</v>
      </c>
      <c r="J52">
        <v>571.70000000000005</v>
      </c>
      <c r="K52" t="str">
        <f t="shared" si="2"/>
        <v>?</v>
      </c>
      <c r="L52">
        <v>0.38600000000000001</v>
      </c>
      <c r="M52">
        <v>514.70000000000005</v>
      </c>
      <c r="N52" t="str">
        <f t="shared" si="3"/>
        <v>?</v>
      </c>
      <c r="O52" s="1">
        <v>13.4</v>
      </c>
      <c r="P52">
        <v>509.5</v>
      </c>
      <c r="Q52" t="str">
        <f t="shared" si="4"/>
        <v>?</v>
      </c>
      <c r="R52">
        <v>0.373</v>
      </c>
      <c r="S52">
        <v>376.8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0.38999999999999996</v>
      </c>
      <c r="D56">
        <f>AVERAGE(D$5:D$52)</f>
        <v>25.6875</v>
      </c>
      <c r="F56">
        <f>AVERAGE(F$5:F$52)</f>
        <v>2.4708333333333332E-2</v>
      </c>
      <c r="G56">
        <f>AVERAGE(G$5:G$52)</f>
        <v>28.814583333333342</v>
      </c>
      <c r="H56" s="25"/>
      <c r="I56" s="1">
        <f>AVERAGE(I$5:I$52)</f>
        <v>0.62416666666666665</v>
      </c>
      <c r="J56">
        <f>AVERAGE(J$5:J$52)</f>
        <v>34.589583333333337</v>
      </c>
      <c r="L56">
        <f>AVERAGE(L$5:L$52)</f>
        <v>2.7375E-2</v>
      </c>
      <c r="M56">
        <f>AVERAGE(M$5:M$52)</f>
        <v>24.710416666666664</v>
      </c>
      <c r="N56" s="2"/>
      <c r="O56" s="25">
        <f>AVERAGE(O$5:O$52)</f>
        <v>0.68041666666666678</v>
      </c>
      <c r="P56">
        <f>AVERAGE(P$5:P$52)</f>
        <v>35.068750000000001</v>
      </c>
      <c r="R56">
        <f>AVERAGE(R$5:R$52)</f>
        <v>3.3312500000000002E-2</v>
      </c>
      <c r="S56">
        <f>AVERAGE(S$5:S$52)</f>
        <v>31.122916666666665</v>
      </c>
      <c r="T56" s="25"/>
    </row>
    <row r="57" spans="1:20">
      <c r="B57" s="4" t="s">
        <v>20</v>
      </c>
      <c r="C57" s="25">
        <f>MEDIAN(C$5:C$52)</f>
        <v>-0.22499999999999998</v>
      </c>
      <c r="D57">
        <f>MEDIAN(D$5:D$52)</f>
        <v>-11.6</v>
      </c>
      <c r="F57">
        <f>MEDIAN(F$5:F$52)</f>
        <v>7.0000000000000001E-3</v>
      </c>
      <c r="G57">
        <f>MEDIAN(G$5:G$52)</f>
        <v>5.75</v>
      </c>
      <c r="H57" s="25"/>
      <c r="I57" s="1">
        <f>MEDIAN(I$5:I$52)</f>
        <v>-0.11</v>
      </c>
      <c r="J57">
        <f>MEDIAN(J$5:J$52)</f>
        <v>-8.4499999999999993</v>
      </c>
      <c r="L57">
        <f>MEDIAN(L$5:L$52)</f>
        <v>-5.4999999999999997E-3</v>
      </c>
      <c r="M57">
        <f>MEDIAN(M$5:M$52)</f>
        <v>-4.05</v>
      </c>
      <c r="N57" s="2"/>
      <c r="O57" s="25">
        <f>MEDIAN(O$5:O$52)</f>
        <v>-8.5000000000000006E-2</v>
      </c>
      <c r="P57">
        <f>MEDIAN(P$5:P$52)</f>
        <v>-7.4</v>
      </c>
      <c r="R57">
        <f>MEDIAN(R$5:R$52)</f>
        <v>3.0000000000000001E-3</v>
      </c>
      <c r="S57">
        <f>MEDIAN(S$5:S$52)</f>
        <v>3</v>
      </c>
      <c r="T57" s="25"/>
    </row>
    <row r="58" spans="1:20">
      <c r="B58" s="4" t="s">
        <v>21</v>
      </c>
      <c r="C58" s="25">
        <f>STDEV(C$5:C$52)</f>
        <v>2.8008273853547618</v>
      </c>
      <c r="D58">
        <f>STDEV(D$5:D$52)</f>
        <v>109.84582546615243</v>
      </c>
      <c r="F58">
        <f>STDEV(F$5:F$52)</f>
        <v>9.9495099490854499E-2</v>
      </c>
      <c r="G58">
        <f>STDEV(G$5:G$52)</f>
        <v>80.412796667618778</v>
      </c>
      <c r="H58" s="25"/>
      <c r="I58" s="1">
        <f>STDEV(I$5:I$52)</f>
        <v>2.8424927877176662</v>
      </c>
      <c r="J58">
        <f>STDEV(J$5:J$52)</f>
        <v>143.2070131403789</v>
      </c>
      <c r="L58">
        <f>STDEV(L$5:L$52)</f>
        <v>0.1018740618022326</v>
      </c>
      <c r="M58">
        <f>STDEV(M$5:M$52)</f>
        <v>95.412377625117458</v>
      </c>
      <c r="N58" s="2"/>
      <c r="O58" s="25">
        <f>STDEV(O$5:O$52)</f>
        <v>2.8250188915454446</v>
      </c>
      <c r="P58">
        <f>STDEV(P$5:P$52)</f>
        <v>149.97158050812956</v>
      </c>
      <c r="R58">
        <f>STDEV(R$5:R$52)</f>
        <v>0.10046152142603675</v>
      </c>
      <c r="S58">
        <f>STDEV(S$5:S$52)</f>
        <v>84.973187860300058</v>
      </c>
      <c r="T58" s="25"/>
    </row>
    <row r="59" spans="1:20">
      <c r="B59" s="4" t="s">
        <v>22</v>
      </c>
      <c r="C59" s="25">
        <f>COUNTIF(C$5:C$52, "&lt;0")</f>
        <v>29</v>
      </c>
      <c r="D59">
        <f>COUNTIF(D$5:D$52, "&lt;0")</f>
        <v>29</v>
      </c>
      <c r="F59">
        <f>COUNTIF(F$5:F$52, "&lt;0")</f>
        <v>22</v>
      </c>
      <c r="G59">
        <f>COUNTIF(G$5:G$52, "&lt;0")</f>
        <v>22</v>
      </c>
      <c r="H59" s="25"/>
      <c r="I59" s="1">
        <f>COUNTIF(I$5:I$52, "&lt;0")</f>
        <v>30</v>
      </c>
      <c r="J59">
        <f>COUNTIF(J$5:J$52, "&lt;0")</f>
        <v>30</v>
      </c>
      <c r="L59">
        <f>COUNTIF(L$5:L$52, "&lt;0")</f>
        <v>31</v>
      </c>
      <c r="M59">
        <f>COUNTIF(M$5:M$52, "&lt;0")</f>
        <v>31</v>
      </c>
      <c r="N59" s="2"/>
      <c r="O59" s="25">
        <f>COUNTIF(O$5:O$52, "&lt;0")</f>
        <v>27</v>
      </c>
      <c r="P59">
        <f>COUNTIF(P$5:P$52, "&lt;0")</f>
        <v>27</v>
      </c>
      <c r="R59">
        <f>COUNTIF(R$5:R$52, "&lt;0")</f>
        <v>22</v>
      </c>
      <c r="S59">
        <f>COUNTIF(S$5:S$52, "&lt;0")</f>
        <v>22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-0.36791666666666661</v>
      </c>
      <c r="D63">
        <f>AVERAGE(D$5:D$28)</f>
        <v>-2.1083333333333334</v>
      </c>
      <c r="F63">
        <f>AVERAGE(F$5:F$28)</f>
        <v>5.8333333333333414E-4</v>
      </c>
      <c r="G63">
        <f>AVERAGE(G$5:G$28)</f>
        <v>7.6916666666666664</v>
      </c>
      <c r="H63" s="25"/>
      <c r="I63" s="1">
        <f>AVERAGE(I$5:I$28)</f>
        <v>-0.32874999999999993</v>
      </c>
      <c r="J63">
        <f>AVERAGE(J$5:J$28)</f>
        <v>-5.2333333333333334</v>
      </c>
      <c r="L63">
        <f>AVERAGE(L$5:L$28)</f>
        <v>-6.1666666666666684E-3</v>
      </c>
      <c r="M63">
        <f>AVERAGE(M$5:M$28)</f>
        <v>-2.7708333333333344</v>
      </c>
      <c r="N63" s="2"/>
      <c r="O63" s="25">
        <f>AVERAGE(O$5:O$28)</f>
        <v>-0.29499999999999998</v>
      </c>
      <c r="P63">
        <f>AVERAGE(P$5:P$28)</f>
        <v>-7.0916666666666712</v>
      </c>
      <c r="R63">
        <f>AVERAGE(R$5:R$28)</f>
        <v>1.2916666666666658E-3</v>
      </c>
      <c r="S63">
        <f>AVERAGE(S$5:S$28)</f>
        <v>9.7416666666666654</v>
      </c>
      <c r="T63" s="25"/>
    </row>
    <row r="64" spans="1:20">
      <c r="B64" s="4" t="s">
        <v>20</v>
      </c>
      <c r="C64" s="25">
        <f>MEDIAN(C$5:C$28)</f>
        <v>-0.28500000000000003</v>
      </c>
      <c r="D64">
        <f>MEDIAN(D$5:D$28)</f>
        <v>-13.15</v>
      </c>
      <c r="F64">
        <f>MEDIAN(F$5:F$28)</f>
        <v>5.0000000000000001E-3</v>
      </c>
      <c r="G64">
        <f>MEDIAN(G$5:G$28)</f>
        <v>3.95</v>
      </c>
      <c r="H64" s="25"/>
      <c r="I64" s="1">
        <f>MEDIAN(I$5:I$28)</f>
        <v>-0.28000000000000003</v>
      </c>
      <c r="J64">
        <f>MEDIAN(J$5:J$28)</f>
        <v>-18.799999999999997</v>
      </c>
      <c r="L64">
        <f>MEDIAN(L$5:L$28)</f>
        <v>-1.15E-2</v>
      </c>
      <c r="M64">
        <f>MEDIAN(M$5:M$28)</f>
        <v>-8.75</v>
      </c>
      <c r="N64" s="2"/>
      <c r="O64" s="25">
        <f>MEDIAN(O$5:O$28)</f>
        <v>-0.21000000000000002</v>
      </c>
      <c r="P64">
        <f>MEDIAN(P$5:P$28)</f>
        <v>-12.600000000000001</v>
      </c>
      <c r="R64">
        <f>MEDIAN(R$5:R$28)</f>
        <v>1E-3</v>
      </c>
      <c r="S64">
        <f>MEDIAN(S$5:S$28)</f>
        <v>0.55000000000000027</v>
      </c>
      <c r="T64" s="25"/>
    </row>
    <row r="65" spans="2:20">
      <c r="B65" s="4" t="s">
        <v>21</v>
      </c>
      <c r="C65" s="25">
        <f>STDEV(C$5:C$28)</f>
        <v>0.73478763076064402</v>
      </c>
      <c r="D65">
        <f>STDEV(D$5:D$28)</f>
        <v>43.418208128634802</v>
      </c>
      <c r="F65">
        <f>STDEV(F$5:F$28)</f>
        <v>2.1669286352219649E-2</v>
      </c>
      <c r="G65">
        <f>STDEV(G$5:G$28)</f>
        <v>27.697338071227783</v>
      </c>
      <c r="H65" s="25"/>
      <c r="I65" s="1">
        <f>STDEV(I$5:I$28)</f>
        <v>0.64339664215041936</v>
      </c>
      <c r="J65">
        <f>STDEV(J$5:J$28)</f>
        <v>38.986236887735991</v>
      </c>
      <c r="L65">
        <f>STDEV(L$5:L$28)</f>
        <v>2.4774928888884329E-2</v>
      </c>
      <c r="M65">
        <f>STDEV(M$5:M$28)</f>
        <v>25.254349245171642</v>
      </c>
      <c r="N65" s="2"/>
      <c r="O65" s="25">
        <f>STDEV(O$5:O$28)</f>
        <v>0.64407669000569778</v>
      </c>
      <c r="P65">
        <f>STDEV(P$5:P$28)</f>
        <v>31.725150037904253</v>
      </c>
      <c r="R65">
        <f>STDEV(R$5:R$28)</f>
        <v>2.7197313113241719E-2</v>
      </c>
      <c r="S65">
        <f>STDEV(S$5:S$28)</f>
        <v>43.516752562929007</v>
      </c>
      <c r="T65" s="25"/>
    </row>
    <row r="66" spans="2:20">
      <c r="B66" s="4" t="s">
        <v>22</v>
      </c>
      <c r="C66" s="25">
        <f>COUNTIF(C$5:C$28, "&lt;0")</f>
        <v>15</v>
      </c>
      <c r="D66">
        <f>COUNTIF(D$5:D$28, "&lt;0")</f>
        <v>15</v>
      </c>
      <c r="F66">
        <f>COUNTIF(F$5:F$28, "&lt;0")</f>
        <v>11</v>
      </c>
      <c r="G66">
        <f>COUNTIF(G$5:G$28, "&lt;0")</f>
        <v>11</v>
      </c>
      <c r="H66" s="25"/>
      <c r="I66" s="1">
        <f>COUNTIF(I$5:I$28, "&lt;0")</f>
        <v>17</v>
      </c>
      <c r="J66">
        <f>COUNTIF(J$5:J$28, "&lt;0")</f>
        <v>17</v>
      </c>
      <c r="L66">
        <f>COUNTIF(L$5:L$28, "&lt;0")</f>
        <v>17</v>
      </c>
      <c r="M66">
        <f>COUNTIF(M$5:M$28, "&lt;0")</f>
        <v>17</v>
      </c>
      <c r="N66" s="2"/>
      <c r="O66" s="25">
        <f>COUNTIF(O$5:O$28, "&lt;0")</f>
        <v>17</v>
      </c>
      <c r="P66">
        <f>COUNTIF(P$5:P$28, "&lt;0")</f>
        <v>17</v>
      </c>
      <c r="R66">
        <f>COUNTIF(R$5:R$28, "&lt;0")</f>
        <v>12</v>
      </c>
      <c r="S66">
        <f>COUNTIF(S$5:S$28, "&lt;0")</f>
        <v>12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1.1479166666666665</v>
      </c>
      <c r="D70">
        <f>AVERAGE(D$29:D$52)</f>
        <v>53.483333333333327</v>
      </c>
      <c r="F70">
        <f>AVERAGE(F$29:F$52)</f>
        <v>4.8833333333333333E-2</v>
      </c>
      <c r="G70">
        <f>AVERAGE(G$29:G$52)</f>
        <v>49.9375</v>
      </c>
      <c r="H70" s="25"/>
      <c r="I70" s="1">
        <f>AVERAGE(I$29:I$52)</f>
        <v>1.5770833333333332</v>
      </c>
      <c r="J70">
        <f>AVERAGE(J$29:J$52)</f>
        <v>74.412500000000009</v>
      </c>
      <c r="L70">
        <f>AVERAGE(L$29:L$52)</f>
        <v>6.0916666666666675E-2</v>
      </c>
      <c r="M70">
        <f>AVERAGE(M$29:M$52)</f>
        <v>52.191666666666663</v>
      </c>
      <c r="N70" s="2"/>
      <c r="O70" s="25">
        <f>AVERAGE(O$29:O$52)</f>
        <v>1.6558333333333335</v>
      </c>
      <c r="P70">
        <f>AVERAGE(P$29:P$52)</f>
        <v>77.229166666666671</v>
      </c>
      <c r="R70">
        <f>AVERAGE(R$29:R$52)</f>
        <v>6.533333333333334E-2</v>
      </c>
      <c r="S70">
        <f>AVERAGE(S$29:S$52)</f>
        <v>52.50416666666667</v>
      </c>
      <c r="T70" s="25"/>
    </row>
    <row r="71" spans="2:20">
      <c r="B71" s="4" t="s">
        <v>20</v>
      </c>
      <c r="C71" s="25">
        <f>MEDIAN(C$29:C$52)</f>
        <v>-0.19</v>
      </c>
      <c r="D71">
        <f>MEDIAN(D$29:D$52)</f>
        <v>-10.7</v>
      </c>
      <c r="F71">
        <f>MEDIAN(F$29:F$52)</f>
        <v>7.0000000000000001E-3</v>
      </c>
      <c r="G71">
        <f>MEDIAN(G$29:G$52)</f>
        <v>5.75</v>
      </c>
      <c r="H71" s="25"/>
      <c r="I71" s="1">
        <f>MEDIAN(I$29:I$52)</f>
        <v>-0.02</v>
      </c>
      <c r="J71">
        <f>MEDIAN(J$29:J$52)</f>
        <v>-1.9</v>
      </c>
      <c r="L71">
        <f>MEDIAN(L$29:L$52)</f>
        <v>-2E-3</v>
      </c>
      <c r="M71">
        <f>MEDIAN(M$29:M$52)</f>
        <v>-2.65</v>
      </c>
      <c r="N71" s="2"/>
      <c r="O71" s="25">
        <f>MEDIAN(O$29:O$52)</f>
        <v>0.16</v>
      </c>
      <c r="P71">
        <f>MEDIAN(P$29:P$52)</f>
        <v>5.35</v>
      </c>
      <c r="R71">
        <f>MEDIAN(R$29:R$52)</f>
        <v>3.5000000000000001E-3</v>
      </c>
      <c r="S71">
        <f>MEDIAN(S$29:S$52)</f>
        <v>3.5</v>
      </c>
      <c r="T71" s="25"/>
    </row>
    <row r="72" spans="2:20">
      <c r="B72" s="4" t="s">
        <v>21</v>
      </c>
      <c r="C72" s="25">
        <f>STDEV(C$29:C$52)</f>
        <v>3.780423232766482</v>
      </c>
      <c r="D72">
        <f>STDEV(D$29:D$52)</f>
        <v>145.4623084802582</v>
      </c>
      <c r="F72">
        <f>STDEV(F$29:F$52)</f>
        <v>0.13617912330158541</v>
      </c>
      <c r="G72">
        <f>STDEV(G$29:G$52)</f>
        <v>107.30927190581679</v>
      </c>
      <c r="H72" s="25"/>
      <c r="I72" s="1">
        <f>STDEV(I$29:I$52)</f>
        <v>3.7685281167408942</v>
      </c>
      <c r="J72">
        <f>STDEV(J$29:J$52)</f>
        <v>192.55805067676286</v>
      </c>
      <c r="L72">
        <f>STDEV(L$29:L$52)</f>
        <v>0.13507837231276765</v>
      </c>
      <c r="M72">
        <f>STDEV(M$29:M$52)</f>
        <v>128.01936306215782</v>
      </c>
      <c r="N72" s="2"/>
      <c r="O72" s="25">
        <f>STDEV(O$29:O$52)</f>
        <v>3.7293441743843507</v>
      </c>
      <c r="P72">
        <f>STDEV(P$29:P$52)</f>
        <v>203.0881292512037</v>
      </c>
      <c r="R72">
        <f>STDEV(R$29:R$52)</f>
        <v>0.13320780322706216</v>
      </c>
      <c r="S72">
        <f>STDEV(S$29:S$52)</f>
        <v>109.11939005617602</v>
      </c>
      <c r="T72" s="25"/>
    </row>
    <row r="73" spans="2:20">
      <c r="B73" s="4" t="s">
        <v>22</v>
      </c>
      <c r="C73" s="25">
        <f>COUNTIF(C$29:C$52, "&lt;0")</f>
        <v>14</v>
      </c>
      <c r="D73">
        <f>COUNTIF(D$29:D$52, "&lt;0")</f>
        <v>14</v>
      </c>
      <c r="F73">
        <f>COUNTIF(F$29:F$52, "&lt;0")</f>
        <v>11</v>
      </c>
      <c r="G73">
        <f>COUNTIF(G$29:G$52, "&lt;0")</f>
        <v>11</v>
      </c>
      <c r="H73" s="25"/>
      <c r="I73" s="1">
        <f>COUNTIF(I$29:I$52, "&lt;0")</f>
        <v>13</v>
      </c>
      <c r="J73">
        <f>COUNTIF(J$29:J$52, "&lt;0")</f>
        <v>13</v>
      </c>
      <c r="L73">
        <f>COUNTIF(L$29:L$52, "&lt;0")</f>
        <v>14</v>
      </c>
      <c r="M73">
        <f>COUNTIF(M$29:M$52, "&lt;0")</f>
        <v>14</v>
      </c>
      <c r="N73" s="2"/>
      <c r="O73" s="25">
        <f>COUNTIF(O$29:O$52, "&lt;0")</f>
        <v>10</v>
      </c>
      <c r="P73">
        <f>COUNTIF(P$29:P$52, "&lt;0")</f>
        <v>10</v>
      </c>
      <c r="R73">
        <f>COUNTIF(R$29:R$52, "&lt;0")</f>
        <v>10</v>
      </c>
      <c r="S73">
        <f>COUNTIF(S$29:S$52, "&lt;0")</f>
        <v>10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0.56486111111111093</v>
      </c>
      <c r="D77">
        <f>AVERAGE(D$5:D$52,J$5:J$52,P$5:P$52)</f>
        <v>31.781944444444441</v>
      </c>
      <c r="F77">
        <f>AVERAGE(F$5:F$52,L$5:L$52,R$5:R$52)</f>
        <v>2.8465277777777784E-2</v>
      </c>
      <c r="G77">
        <f>AVERAGE(G$5:G$52,M$5:M$52,S$5:S$52)</f>
        <v>28.21597222222222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-0.125</v>
      </c>
      <c r="D78">
        <f>MEDIAN(D$5:D$52,J$5:J$52,P$5:P$52)</f>
        <v>-9</v>
      </c>
      <c r="F78">
        <f>MEDIAN(F$5:F$52,L$5:L$52,R$5:R$52)</f>
        <v>-2E-3</v>
      </c>
      <c r="G78">
        <f>MEDIAN(G$5:G$52,M$5:M$52,S$5:S$52)</f>
        <v>-1.65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2.8058612444724207</v>
      </c>
      <c r="D79">
        <f>STDEV(D$5:D$52,J$5:J$52,P$5:P$52)</f>
        <v>134.60051520219452</v>
      </c>
      <c r="F79">
        <f>STDEV(F$5:F$52,L$5:L$52,R$5:R$52)</f>
        <v>9.9974046505818037E-2</v>
      </c>
      <c r="G79">
        <f>STDEV(G$5:G$52,M$5:M$52,S$5:S$52)</f>
        <v>86.588458882437592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86</v>
      </c>
      <c r="D80">
        <f>COUNTIF(D$5:D$52, "&lt;0")+COUNTIF(J$5:J$52, "&lt;0")+COUNTIF(P$5:P$52, "&lt;0")</f>
        <v>86</v>
      </c>
      <c r="F80">
        <f>COUNTIF(F$5:F$52, "&lt;0")+COUNTIF(L$5:L$52, "&lt;0")+COUNTIF(R$5:R$52, "&lt;0")</f>
        <v>75</v>
      </c>
      <c r="G80">
        <f>COUNTIF(G$5:G$52, "&lt;0")+COUNTIF(M$5:M$52, "&lt;0")+COUNTIF(S$5:S$52, "&lt;0")</f>
        <v>75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1.237083333333334</v>
      </c>
      <c r="D83" cm="1">
        <f t="array" ref="D83">AVERAGE(ABS(D$5:D$52),ABS(J$5:J$52),ABS(P$5:P$52))</f>
        <v>58.623611111111082</v>
      </c>
      <c r="F83" cm="1">
        <f t="array" ref="F83">AVERAGE(ABS(F$5:F$52),ABS(L$5:L$52),ABS(R$5:R$52))</f>
        <v>4.843749999999996E-2</v>
      </c>
      <c r="G83" cm="1">
        <f t="array" ref="G83">AVERAGE(ABS(G$5:G$52),ABS(M$5:M$52),ABS(S$5:S$52))</f>
        <v>41.215972222222227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0.375</v>
      </c>
      <c r="D84" cm="1">
        <f t="array" ref="D84">MEDIAN(ABS(D$5:D$52),ABS(J$5:J$52),ABS(P$5:P$52))</f>
        <v>24.549999999999997</v>
      </c>
      <c r="F84" cm="1">
        <f t="array" ref="F84">MEDIAN(ABS(F$5:F$52),ABS(L$5:L$52),ABS(R$5:R$52))</f>
        <v>1.6E-2</v>
      </c>
      <c r="G84" cm="1">
        <f t="array" ref="G84">MEDIAN(ABS(G$5:G$52),ABS(M$5:M$52),ABS(S$5:S$52))</f>
        <v>13.8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2.5793564207868869</v>
      </c>
      <c r="D85" cm="1">
        <f t="array" ref="D85">STDEV(ABS(D$5:D$52),ABS(J$5:J$52),ABS(P$5:P$52))</f>
        <v>125.1946221873405</v>
      </c>
      <c r="F85" cm="1">
        <f t="array" ref="F85">STDEV(ABS(F$5:F$52),ABS(L$5:L$52),ABS(R$5:R$52))</f>
        <v>9.1913817854484825E-2</v>
      </c>
      <c r="G85" cm="1">
        <f t="array" ref="G85">STDEV(ABS(G$5:G$52),ABS(M$5:M$52),ABS(S$5:S$52))</f>
        <v>81.170400632917364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-0.33055555555555555</v>
      </c>
      <c r="D89">
        <f>AVERAGE(D$5:D$28,J$5:J$28,P$5:P$28)</f>
        <v>-4.8111111111111109</v>
      </c>
      <c r="F89">
        <f>AVERAGE(F$5:F$28,L$5:L$28,R$5:R$28)</f>
        <v>-1.4305555555555547E-3</v>
      </c>
      <c r="G89">
        <f>AVERAGE(G$5:G$28,M$5:M$28,S$5:S$28)</f>
        <v>4.8874999999999993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-0.27</v>
      </c>
      <c r="D90">
        <f>MEDIAN(D$5:D$28,J$5:J$28,P$5:P$28)</f>
        <v>-14.05</v>
      </c>
      <c r="F90">
        <f>MEDIAN(F$5:F$28,L$5:L$28,R$5:R$28)</f>
        <v>-2.5000000000000001E-3</v>
      </c>
      <c r="G90">
        <f>MEDIAN(G$5:G$28,M$5:M$28,S$5:S$28)</f>
        <v>-3.35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0.66654646803745654</v>
      </c>
      <c r="D91">
        <f>STDEV(D$5:D$28,J$5:J$28,P$5:P$28)</f>
        <v>37.860033390443661</v>
      </c>
      <c r="F91">
        <f>STDEV(F$5:F$28,L$5:L$28,R$5:R$28)</f>
        <v>2.4536162669827791E-2</v>
      </c>
      <c r="G91">
        <f>STDEV(G$5:G$28,M$5:M$28,S$5:S$28)</f>
        <v>33.151461793020289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49</v>
      </c>
      <c r="D92">
        <f>COUNTIF(D$5:D$28, "&lt;0")+COUNTIF(J$5:J$28, "&lt;0")+COUNTIF(P$5:P$28, "&lt;0")</f>
        <v>49</v>
      </c>
      <c r="F92">
        <f>COUNTIF(F$5:F$28, "&lt;0")+COUNTIF(L$5:L$28, "&lt;0")+COUNTIF(R$5:R$28, "&lt;0")</f>
        <v>40</v>
      </c>
      <c r="G92">
        <f>COUNTIF(G$5:G$28, "&lt;0")+COUNTIF(M$5:M$28, "&lt;0")+COUNTIF(S$5:S$28, "&lt;0")</f>
        <v>40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0.54583333333333317</v>
      </c>
      <c r="D95" cm="1">
        <f t="array" ref="D95">AVERAGE(ABS(D$5:D$28),ABS(J$5:J$28),ABS(P$5:P$28))</f>
        <v>30.166666666666679</v>
      </c>
      <c r="F95" cm="1">
        <f t="array" ref="F95">AVERAGE(ABS(F$5:F$28),ABS(L$5:L$28),ABS(R$5:R$28))</f>
        <v>1.9236111111111107E-2</v>
      </c>
      <c r="G95" cm="1">
        <f t="array" ref="G95">AVERAGE(ABS(G$5:G$28),ABS(M$5:M$28),ABS(S$5:S$28))</f>
        <v>19.18472222222222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0.35</v>
      </c>
      <c r="D96" cm="1">
        <f t="array" ref="D96">MEDIAN(ABS(D$5:D$28),ABS(J$5:J$28),ABS(P$5:P$28))</f>
        <v>24.7</v>
      </c>
      <c r="F96" cm="1">
        <f t="array" ref="F96">MEDIAN(ABS(F$5:F$28),ABS(L$5:L$28),ABS(R$5:R$28))</f>
        <v>1.55E-2</v>
      </c>
      <c r="G96" cm="1">
        <f t="array" ref="G96">MEDIAN(ABS(G$5:G$28),ABS(M$5:M$28),ABS(S$5:S$28))</f>
        <v>12.8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0.50295114986937806</v>
      </c>
      <c r="D97" cm="1">
        <f t="array" ref="D97">STDEV(ABS(D$5:D$28),ABS(J$5:J$28),ABS(P$5:P$28))</f>
        <v>23.108653339278103</v>
      </c>
      <c r="F97" cm="1">
        <f t="array" ref="F97">STDEV(ABS(F$5:F$28),ABS(L$5:L$28),ABS(R$5:R$28))</f>
        <v>1.5128085117139726E-2</v>
      </c>
      <c r="G97" cm="1">
        <f t="array" ref="G97">STDEV(ABS(G$5:G$28),ABS(M$5:M$28),ABS(S$5:S$28))</f>
        <v>27.386239269571192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1.460277777777778</v>
      </c>
      <c r="D101">
        <f>AVERAGE(D$29:D$52,J$29:J$52,P$29:P$52)</f>
        <v>68.375</v>
      </c>
      <c r="F101">
        <f>AVERAGE(F$29:F$52,L$29:L$52,R$29:R$52)</f>
        <v>5.8361111111111121E-2</v>
      </c>
      <c r="G101">
        <f>AVERAGE(G$29:G$52,M$29:M$52,S$29:S$52)</f>
        <v>51.544444444444437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-0.02</v>
      </c>
      <c r="D102">
        <f>MEDIAN(D$29:D$52,J$29:J$52,P$29:P$52)</f>
        <v>-1.9</v>
      </c>
      <c r="F102">
        <f>MEDIAN(F$29:F$52,L$29:L$52,R$29:R$52)</f>
        <v>2.5000000000000001E-3</v>
      </c>
      <c r="G102">
        <f>MEDIAN(G$29:G$52,M$29:M$52,S$29:S$52)</f>
        <v>2.1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3.7129757141876247</v>
      </c>
      <c r="D103">
        <f>STDEV(D$29:D$52,J$29:J$52,P$29:P$52)</f>
        <v>179.83482777729719</v>
      </c>
      <c r="F103">
        <f>STDEV(F$29:F$52,L$29:L$52,R$29:R$52)</f>
        <v>0.13310022756941378</v>
      </c>
      <c r="G103">
        <f>STDEV(G$29:G$52,M$29:M$52,S$29:S$52)</f>
        <v>113.56908537009394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37</v>
      </c>
      <c r="D104">
        <f>COUNTIF(D$29:D$52, "&lt;0")+COUNTIF(J$29:J$52, "&lt;0")+COUNTIF(P$29:P$52, "&lt;0")</f>
        <v>37</v>
      </c>
      <c r="F104">
        <f>COUNTIF(F$29:F$52, "&lt;0")+COUNTIF(L$29:L$52, "&lt;0")+COUNTIF(R$29:R$52, "&lt;0")</f>
        <v>35</v>
      </c>
      <c r="G104">
        <f>COUNTIF(G$29:G$52, "&lt;0")+COUNTIF(M$29:M$52, "&lt;0")+COUNTIF(S$29:S$52, "&lt;0")</f>
        <v>35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1.928333333333333</v>
      </c>
      <c r="D107" cm="1">
        <f t="array" ref="D107">AVERAGE(ABS(D$29:D$52),ABS(J$29:J$52),ABS(P$29:P$52))</f>
        <v>87.080555555555534</v>
      </c>
      <c r="F107" cm="1">
        <f t="array" ref="F107">AVERAGE(ABS(F$29:F$52),ABS(L$29:L$52),ABS(R$29:R$52))</f>
        <v>7.7638888888888882E-2</v>
      </c>
      <c r="G107" cm="1">
        <f t="array" ref="G107">AVERAGE(ABS(G$29:G$52),ABS(M$29:M$52),ABS(S$29:S$52))</f>
        <v>63.247222222222213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0.45</v>
      </c>
      <c r="D108" cm="1">
        <f t="array" ref="D108">MEDIAN(ABS(D$29:D$52),ABS(J$29:J$52),ABS(P$29:P$52))</f>
        <v>23.299999999999997</v>
      </c>
      <c r="F108" cm="1">
        <f t="array" ref="F108">MEDIAN(ABS(F$29:F$52),ABS(L$29:L$52),ABS(R$29:R$52))</f>
        <v>1.7500000000000002E-2</v>
      </c>
      <c r="G108" cm="1">
        <f t="array" ref="G108">MEDIAN(ABS(G$29:G$52),ABS(M$29:M$52),ABS(S$29:S$52))</f>
        <v>16.399999999999999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3.4896692607317066</v>
      </c>
      <c r="D109" cm="1">
        <f t="array" ref="D109">STDEV(ABS(D$29:D$52),ABS(J$29:J$52),ABS(P$29:P$52))</f>
        <v>171.44015474456953</v>
      </c>
      <c r="F109" cm="1">
        <f t="array" ref="F109">STDEV(ABS(F$29:F$52),ABS(L$29:L$52),ABS(R$29:R$52))</f>
        <v>0.12270683091693643</v>
      </c>
      <c r="G109" cm="1">
        <f t="array" ref="G109">STDEV(ABS(G$29:G$52),ABS(M$29:M$52),ABS(S$29:S$52))</f>
        <v>107.40407311528153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DA92-0C14-486B-88A9-3FD00CEF6C6A}">
  <dimension ref="A1:T109"/>
  <sheetViews>
    <sheetView topLeftCell="A37" workbookViewId="0">
      <selection activeCell="D51" sqref="D51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34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8" t="s">
        <v>1</v>
      </c>
      <c r="D2" s="16"/>
      <c r="E2" s="16"/>
      <c r="F2" s="16"/>
      <c r="G2" s="16"/>
      <c r="H2" s="17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-0.18</v>
      </c>
      <c r="D5">
        <v>-11.6</v>
      </c>
      <c r="E5" t="str">
        <f>IF(ABS(D5)&gt;50,"?","-")</f>
        <v>-</v>
      </c>
      <c r="F5">
        <v>-3.0000000000000001E-3</v>
      </c>
      <c r="G5">
        <v>-2.1</v>
      </c>
      <c r="H5" t="str">
        <f>IF(ABS(G5)&gt;50,"?","-")</f>
        <v>-</v>
      </c>
      <c r="I5" s="1">
        <v>-0.3</v>
      </c>
      <c r="J5">
        <v>-18.399999999999999</v>
      </c>
      <c r="K5" t="str">
        <f>IF(ABS(J5)&gt;50,"?","-")</f>
        <v>-</v>
      </c>
      <c r="L5">
        <v>-2.4E-2</v>
      </c>
      <c r="M5">
        <v>-15.7</v>
      </c>
      <c r="N5" t="str">
        <f>IF(ABS(M5)&gt;50,"?","-")</f>
        <v>-</v>
      </c>
      <c r="O5" s="1">
        <v>-0.27</v>
      </c>
      <c r="P5">
        <v>-16.8</v>
      </c>
      <c r="Q5" t="str">
        <f>IF(ABS(P5)&gt;50,"?","-")</f>
        <v>-</v>
      </c>
      <c r="R5">
        <v>-1.7999999999999999E-2</v>
      </c>
      <c r="S5">
        <v>-12.3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-0.17</v>
      </c>
      <c r="D6">
        <v>-12.6</v>
      </c>
      <c r="E6" t="str">
        <f t="shared" ref="E6:E52" si="0">IF(ABS(D6)&gt;50,"?","-")</f>
        <v>-</v>
      </c>
      <c r="F6">
        <v>-5.0000000000000001E-3</v>
      </c>
      <c r="G6">
        <v>-4.8</v>
      </c>
      <c r="H6" t="str">
        <f t="shared" ref="H6:H52" si="1">IF(ABS(G6)&gt;50,"?","-")</f>
        <v>-</v>
      </c>
      <c r="I6" s="1">
        <v>-0.25</v>
      </c>
      <c r="J6">
        <v>-18.7</v>
      </c>
      <c r="K6" t="str">
        <f t="shared" ref="K6:K52" si="2">IF(ABS(J6)&gt;50,"?","-")</f>
        <v>-</v>
      </c>
      <c r="L6">
        <v>1E-3</v>
      </c>
      <c r="M6">
        <v>1</v>
      </c>
      <c r="N6" t="str">
        <f t="shared" ref="N6:N52" si="3">IF(ABS(M6)&gt;50,"?","-")</f>
        <v>-</v>
      </c>
      <c r="O6" s="1">
        <v>-0.35</v>
      </c>
      <c r="P6">
        <v>-24.6</v>
      </c>
      <c r="Q6" t="str">
        <f t="shared" ref="Q6:Q52" si="4">IF(ABS(P6)&gt;50,"?","-")</f>
        <v>-</v>
      </c>
      <c r="R6">
        <v>-1.4E-2</v>
      </c>
      <c r="S6">
        <v>-12.6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-0.3</v>
      </c>
      <c r="D7">
        <v>-6.2</v>
      </c>
      <c r="E7" t="str">
        <f t="shared" si="0"/>
        <v>-</v>
      </c>
      <c r="F7">
        <v>-2.3E-2</v>
      </c>
      <c r="G7">
        <v>-7.4</v>
      </c>
      <c r="H7" t="str">
        <f t="shared" si="1"/>
        <v>-</v>
      </c>
      <c r="I7" s="1">
        <v>0.28000000000000003</v>
      </c>
      <c r="J7">
        <v>6.7</v>
      </c>
      <c r="K7" t="str">
        <f t="shared" si="2"/>
        <v>-</v>
      </c>
      <c r="L7">
        <v>-4.0000000000000001E-3</v>
      </c>
      <c r="M7">
        <v>-1.4</v>
      </c>
      <c r="N7" t="str">
        <f t="shared" si="3"/>
        <v>-</v>
      </c>
      <c r="O7" s="1">
        <v>0.28999999999999998</v>
      </c>
      <c r="P7">
        <v>7</v>
      </c>
      <c r="Q7" t="str">
        <f t="shared" si="4"/>
        <v>-</v>
      </c>
      <c r="R7">
        <v>4.0000000000000001E-3</v>
      </c>
      <c r="S7">
        <v>1.5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-0.57999999999999996</v>
      </c>
      <c r="D8">
        <v>-39.5</v>
      </c>
      <c r="E8" t="str">
        <f t="shared" si="0"/>
        <v>-</v>
      </c>
      <c r="F8">
        <v>-5.6000000000000001E-2</v>
      </c>
      <c r="G8">
        <v>-41.8</v>
      </c>
      <c r="H8" t="str">
        <f t="shared" si="1"/>
        <v>-</v>
      </c>
      <c r="I8" s="1">
        <v>-0.23</v>
      </c>
      <c r="J8">
        <v>-20.399999999999999</v>
      </c>
      <c r="K8" t="str">
        <f t="shared" si="2"/>
        <v>-</v>
      </c>
      <c r="L8">
        <v>-3.9E-2</v>
      </c>
      <c r="M8">
        <v>-32.5</v>
      </c>
      <c r="N8" t="str">
        <f t="shared" si="3"/>
        <v>-</v>
      </c>
      <c r="O8" s="1">
        <v>-0.57999999999999996</v>
      </c>
      <c r="P8">
        <v>-39.200000000000003</v>
      </c>
      <c r="Q8" t="str">
        <f t="shared" si="4"/>
        <v>-</v>
      </c>
      <c r="R8">
        <v>-6.5000000000000002E-2</v>
      </c>
      <c r="S8">
        <v>-43.6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-0.1</v>
      </c>
      <c r="D9">
        <v>-6.9</v>
      </c>
      <c r="E9" t="str">
        <f t="shared" si="0"/>
        <v>-</v>
      </c>
      <c r="F9">
        <v>1.7000000000000001E-2</v>
      </c>
      <c r="G9">
        <v>14.3</v>
      </c>
      <c r="H9" t="str">
        <f t="shared" si="1"/>
        <v>-</v>
      </c>
      <c r="I9" s="1">
        <v>-0.17</v>
      </c>
      <c r="J9">
        <v>-12.3</v>
      </c>
      <c r="K9" t="str">
        <f t="shared" si="2"/>
        <v>-</v>
      </c>
      <c r="L9">
        <v>5.0000000000000001E-3</v>
      </c>
      <c r="M9">
        <v>4.3</v>
      </c>
      <c r="N9" t="str">
        <f t="shared" si="3"/>
        <v>-</v>
      </c>
      <c r="O9" s="1">
        <v>-7.0000000000000007E-2</v>
      </c>
      <c r="P9">
        <v>-5.0999999999999996</v>
      </c>
      <c r="Q9" t="str">
        <f t="shared" si="4"/>
        <v>-</v>
      </c>
      <c r="R9">
        <v>6.0000000000000001E-3</v>
      </c>
      <c r="S9">
        <v>5.3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-0.12</v>
      </c>
      <c r="D10">
        <v>-9.3000000000000007</v>
      </c>
      <c r="E10" t="str">
        <f t="shared" si="0"/>
        <v>-</v>
      </c>
      <c r="F10">
        <v>2.1000000000000001E-2</v>
      </c>
      <c r="G10">
        <v>21.9</v>
      </c>
      <c r="H10" t="str">
        <f t="shared" si="1"/>
        <v>-</v>
      </c>
      <c r="I10" s="1">
        <v>-0.09</v>
      </c>
      <c r="J10">
        <v>-7.6</v>
      </c>
      <c r="K10" t="str">
        <f t="shared" si="2"/>
        <v>-</v>
      </c>
      <c r="L10">
        <v>2E-3</v>
      </c>
      <c r="M10">
        <v>1.9</v>
      </c>
      <c r="N10" t="str">
        <f t="shared" si="3"/>
        <v>-</v>
      </c>
      <c r="O10" s="1">
        <v>-0.17</v>
      </c>
      <c r="P10">
        <v>-13.3</v>
      </c>
      <c r="Q10" t="str">
        <f t="shared" si="4"/>
        <v>-</v>
      </c>
      <c r="R10">
        <v>6.0000000000000001E-3</v>
      </c>
      <c r="S10">
        <v>5.8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1.1299999999999999</v>
      </c>
      <c r="D11">
        <v>36.9</v>
      </c>
      <c r="E11" t="str">
        <f t="shared" si="0"/>
        <v>-</v>
      </c>
      <c r="F11">
        <v>2.8000000000000001E-2</v>
      </c>
      <c r="G11">
        <v>11.8</v>
      </c>
      <c r="H11" t="str">
        <f t="shared" si="1"/>
        <v>-</v>
      </c>
      <c r="I11" s="1">
        <v>0.37</v>
      </c>
      <c r="J11">
        <v>9.6999999999999993</v>
      </c>
      <c r="K11" t="str">
        <f t="shared" si="2"/>
        <v>-</v>
      </c>
      <c r="L11">
        <v>1.7999999999999999E-2</v>
      </c>
      <c r="M11">
        <v>7.6</v>
      </c>
      <c r="N11" t="str">
        <f t="shared" si="3"/>
        <v>-</v>
      </c>
      <c r="O11" s="1">
        <v>0.22</v>
      </c>
      <c r="P11">
        <v>5.9</v>
      </c>
      <c r="Q11" t="str">
        <f t="shared" si="4"/>
        <v>-</v>
      </c>
      <c r="R11">
        <v>8.0000000000000002E-3</v>
      </c>
      <c r="S11">
        <v>3.4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0.13</v>
      </c>
      <c r="D12">
        <v>11.9</v>
      </c>
      <c r="E12" t="str">
        <f t="shared" si="0"/>
        <v>-</v>
      </c>
      <c r="F12">
        <v>1.0999999999999999E-2</v>
      </c>
      <c r="G12">
        <v>11</v>
      </c>
      <c r="H12" t="str">
        <f t="shared" si="1"/>
        <v>-</v>
      </c>
      <c r="I12" s="1">
        <v>0.45</v>
      </c>
      <c r="J12">
        <v>60.8</v>
      </c>
      <c r="K12" t="str">
        <f t="shared" si="2"/>
        <v>?</v>
      </c>
      <c r="L12">
        <v>4.2999999999999997E-2</v>
      </c>
      <c r="M12">
        <v>46.2</v>
      </c>
      <c r="N12" t="str">
        <f t="shared" si="3"/>
        <v>-</v>
      </c>
      <c r="O12" s="1">
        <v>-0.14000000000000001</v>
      </c>
      <c r="P12">
        <v>-13.2</v>
      </c>
      <c r="Q12" t="str">
        <f t="shared" si="4"/>
        <v>-</v>
      </c>
      <c r="R12">
        <v>2E-3</v>
      </c>
      <c r="S12">
        <v>2.1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-0.02</v>
      </c>
      <c r="D13">
        <v>-1.4</v>
      </c>
      <c r="E13" t="str">
        <f t="shared" si="0"/>
        <v>-</v>
      </c>
      <c r="F13">
        <v>-5.0000000000000001E-3</v>
      </c>
      <c r="G13">
        <v>-3.5</v>
      </c>
      <c r="H13" t="str">
        <f t="shared" si="1"/>
        <v>-</v>
      </c>
      <c r="I13" s="1">
        <v>-0.09</v>
      </c>
      <c r="J13">
        <v>-6.8</v>
      </c>
      <c r="K13" t="str">
        <f t="shared" si="2"/>
        <v>-</v>
      </c>
      <c r="L13">
        <v>-1.2999999999999999E-2</v>
      </c>
      <c r="M13">
        <v>-10.199999999999999</v>
      </c>
      <c r="N13" t="str">
        <f t="shared" si="3"/>
        <v>-</v>
      </c>
      <c r="O13" s="1">
        <v>-0.01</v>
      </c>
      <c r="P13">
        <v>-0.8</v>
      </c>
      <c r="Q13" t="str">
        <f t="shared" si="4"/>
        <v>-</v>
      </c>
      <c r="R13">
        <v>-1E-3</v>
      </c>
      <c r="S13">
        <v>-0.8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-0.1</v>
      </c>
      <c r="D14">
        <v>-8.3000000000000007</v>
      </c>
      <c r="E14" t="str">
        <f t="shared" si="0"/>
        <v>-</v>
      </c>
      <c r="F14">
        <v>2E-3</v>
      </c>
      <c r="G14">
        <v>2.1</v>
      </c>
      <c r="H14" t="str">
        <f t="shared" si="1"/>
        <v>-</v>
      </c>
      <c r="I14" s="1">
        <v>0.14000000000000001</v>
      </c>
      <c r="J14">
        <v>13.5</v>
      </c>
      <c r="K14" t="str">
        <f t="shared" si="2"/>
        <v>-</v>
      </c>
      <c r="L14">
        <v>2.9000000000000001E-2</v>
      </c>
      <c r="M14">
        <v>35.799999999999997</v>
      </c>
      <c r="N14" t="str">
        <f t="shared" si="3"/>
        <v>-</v>
      </c>
      <c r="O14" s="1">
        <v>-7.0000000000000007E-2</v>
      </c>
      <c r="P14">
        <v>-5.9</v>
      </c>
      <c r="Q14" t="str">
        <f t="shared" si="4"/>
        <v>-</v>
      </c>
      <c r="R14">
        <v>5.0000000000000001E-3</v>
      </c>
      <c r="S14">
        <v>5.2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0.59</v>
      </c>
      <c r="D15">
        <v>17.2</v>
      </c>
      <c r="E15" t="str">
        <f t="shared" si="0"/>
        <v>-</v>
      </c>
      <c r="F15">
        <v>5.0000000000000001E-3</v>
      </c>
      <c r="G15">
        <v>2</v>
      </c>
      <c r="H15" t="str">
        <f t="shared" si="1"/>
        <v>-</v>
      </c>
      <c r="I15" s="1">
        <v>0.92</v>
      </c>
      <c r="J15">
        <v>31.9</v>
      </c>
      <c r="K15" t="str">
        <f t="shared" si="2"/>
        <v>-</v>
      </c>
      <c r="L15">
        <v>1.7999999999999999E-2</v>
      </c>
      <c r="M15">
        <v>8.6</v>
      </c>
      <c r="N15" t="str">
        <f t="shared" si="3"/>
        <v>-</v>
      </c>
      <c r="O15" s="1">
        <v>1.01</v>
      </c>
      <c r="P15">
        <v>35.799999999999997</v>
      </c>
      <c r="Q15" t="str">
        <f t="shared" si="4"/>
        <v>-</v>
      </c>
      <c r="R15">
        <v>0.02</v>
      </c>
      <c r="S15">
        <v>9.6999999999999993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-0.03</v>
      </c>
      <c r="D16">
        <v>-3.6</v>
      </c>
      <c r="E16" t="str">
        <f t="shared" si="0"/>
        <v>-</v>
      </c>
      <c r="F16">
        <v>-6.5000000000000002E-2</v>
      </c>
      <c r="G16">
        <v>-56.5</v>
      </c>
      <c r="H16" t="str">
        <f t="shared" si="1"/>
        <v>?</v>
      </c>
      <c r="I16" s="1">
        <v>-0.02</v>
      </c>
      <c r="J16">
        <v>-2.5</v>
      </c>
      <c r="K16" t="str">
        <f t="shared" si="2"/>
        <v>-</v>
      </c>
      <c r="L16">
        <v>-6.4000000000000001E-2</v>
      </c>
      <c r="M16">
        <v>-55.7</v>
      </c>
      <c r="N16" t="str">
        <f t="shared" si="3"/>
        <v>?</v>
      </c>
      <c r="O16" s="1">
        <v>0.01</v>
      </c>
      <c r="P16">
        <v>1.3</v>
      </c>
      <c r="Q16" t="str">
        <f t="shared" si="4"/>
        <v>-</v>
      </c>
      <c r="R16">
        <v>-2.5999999999999999E-2</v>
      </c>
      <c r="S16">
        <v>-33.799999999999997</v>
      </c>
      <c r="T16" s="2" t="str">
        <f t="shared" si="5"/>
        <v>-</v>
      </c>
    </row>
    <row r="17" spans="1:20">
      <c r="A17" s="11" t="s">
        <v>9</v>
      </c>
      <c r="B17" s="12" t="s">
        <v>16</v>
      </c>
      <c r="C17">
        <v>0.15</v>
      </c>
      <c r="D17">
        <v>12.2</v>
      </c>
      <c r="E17" t="str">
        <f t="shared" si="0"/>
        <v>-</v>
      </c>
      <c r="F17">
        <v>0</v>
      </c>
      <c r="G17">
        <v>0</v>
      </c>
      <c r="H17" t="str">
        <f t="shared" si="1"/>
        <v>-</v>
      </c>
      <c r="I17" s="1">
        <v>0.05</v>
      </c>
      <c r="J17">
        <v>4.5</v>
      </c>
      <c r="K17" t="str">
        <f t="shared" si="2"/>
        <v>-</v>
      </c>
      <c r="L17">
        <v>-8.9999999999999993E-3</v>
      </c>
      <c r="M17">
        <v>-7.9</v>
      </c>
      <c r="N17" t="str">
        <f t="shared" si="3"/>
        <v>-</v>
      </c>
      <c r="O17" s="1">
        <v>0</v>
      </c>
      <c r="P17">
        <v>0</v>
      </c>
      <c r="Q17" t="str">
        <f t="shared" si="4"/>
        <v>-</v>
      </c>
      <c r="R17">
        <v>-1.2E-2</v>
      </c>
      <c r="S17">
        <v>-10.4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0.09</v>
      </c>
      <c r="D18">
        <v>8.4</v>
      </c>
      <c r="E18" t="str">
        <f t="shared" si="0"/>
        <v>-</v>
      </c>
      <c r="F18">
        <v>1.4E-2</v>
      </c>
      <c r="G18">
        <v>14.9</v>
      </c>
      <c r="H18" t="str">
        <f t="shared" si="1"/>
        <v>-</v>
      </c>
      <c r="I18" s="1">
        <v>0.19</v>
      </c>
      <c r="J18">
        <v>21.6</v>
      </c>
      <c r="K18" t="str">
        <f t="shared" si="2"/>
        <v>-</v>
      </c>
      <c r="L18">
        <v>3.4000000000000002E-2</v>
      </c>
      <c r="M18">
        <v>47.9</v>
      </c>
      <c r="N18" t="str">
        <f t="shared" si="3"/>
        <v>-</v>
      </c>
      <c r="O18" s="1">
        <v>0.14000000000000001</v>
      </c>
      <c r="P18">
        <v>15.4</v>
      </c>
      <c r="Q18" t="str">
        <f t="shared" si="4"/>
        <v>-</v>
      </c>
      <c r="R18">
        <v>3.3000000000000002E-2</v>
      </c>
      <c r="S18">
        <v>47.1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0.44</v>
      </c>
      <c r="D19">
        <v>15.8</v>
      </c>
      <c r="E19" t="str">
        <f t="shared" si="0"/>
        <v>-</v>
      </c>
      <c r="F19">
        <v>1.2E-2</v>
      </c>
      <c r="G19">
        <v>6.3</v>
      </c>
      <c r="H19" t="str">
        <f t="shared" si="1"/>
        <v>-</v>
      </c>
      <c r="I19" s="1">
        <v>0.46</v>
      </c>
      <c r="J19">
        <v>16.8</v>
      </c>
      <c r="K19" t="str">
        <f t="shared" si="2"/>
        <v>-</v>
      </c>
      <c r="L19">
        <v>2.7E-2</v>
      </c>
      <c r="M19">
        <v>16.8</v>
      </c>
      <c r="N19" t="str">
        <f t="shared" si="3"/>
        <v>-</v>
      </c>
      <c r="O19" s="1">
        <v>0.76</v>
      </c>
      <c r="P19">
        <v>31</v>
      </c>
      <c r="Q19" t="str">
        <f t="shared" si="4"/>
        <v>-</v>
      </c>
      <c r="R19">
        <v>2.4E-2</v>
      </c>
      <c r="S19">
        <v>14.6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0.27</v>
      </c>
      <c r="D20">
        <v>39.1</v>
      </c>
      <c r="E20" t="str">
        <f t="shared" si="0"/>
        <v>-</v>
      </c>
      <c r="F20">
        <v>-7.0000000000000001E-3</v>
      </c>
      <c r="G20">
        <v>-8.3000000000000007</v>
      </c>
      <c r="H20" t="str">
        <f t="shared" si="1"/>
        <v>-</v>
      </c>
      <c r="I20" s="1">
        <v>7.0000000000000007E-2</v>
      </c>
      <c r="J20">
        <v>10.1</v>
      </c>
      <c r="K20" t="str">
        <f t="shared" si="2"/>
        <v>-</v>
      </c>
      <c r="L20">
        <v>-5.2999999999999999E-2</v>
      </c>
      <c r="M20">
        <v>-55.8</v>
      </c>
      <c r="N20" t="str">
        <f t="shared" si="3"/>
        <v>?</v>
      </c>
      <c r="O20" s="1">
        <v>0.28999999999999998</v>
      </c>
      <c r="P20">
        <v>40.799999999999997</v>
      </c>
      <c r="Q20" t="str">
        <f t="shared" si="4"/>
        <v>-</v>
      </c>
      <c r="R20">
        <v>-4.3999999999999997E-2</v>
      </c>
      <c r="S20">
        <v>-45.4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0.18</v>
      </c>
      <c r="D21">
        <v>15.7</v>
      </c>
      <c r="E21" t="str">
        <f t="shared" si="0"/>
        <v>-</v>
      </c>
      <c r="F21">
        <v>1.0999999999999999E-2</v>
      </c>
      <c r="G21">
        <v>9.9</v>
      </c>
      <c r="H21" t="str">
        <f t="shared" si="1"/>
        <v>-</v>
      </c>
      <c r="I21" s="1">
        <v>0.14000000000000001</v>
      </c>
      <c r="J21">
        <v>13.5</v>
      </c>
      <c r="K21" t="str">
        <f t="shared" si="2"/>
        <v>-</v>
      </c>
      <c r="L21">
        <v>1.2999999999999999E-2</v>
      </c>
      <c r="M21">
        <v>14.4</v>
      </c>
      <c r="N21" t="str">
        <f t="shared" si="3"/>
        <v>-</v>
      </c>
      <c r="O21" s="1">
        <v>0.04</v>
      </c>
      <c r="P21">
        <v>3.7</v>
      </c>
      <c r="Q21" t="str">
        <f t="shared" si="4"/>
        <v>-</v>
      </c>
      <c r="R21">
        <v>1.0999999999999999E-2</v>
      </c>
      <c r="S21">
        <v>11.6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0.19</v>
      </c>
      <c r="D22">
        <v>18.8</v>
      </c>
      <c r="E22" t="str">
        <f t="shared" si="0"/>
        <v>-</v>
      </c>
      <c r="F22">
        <v>-2E-3</v>
      </c>
      <c r="G22">
        <v>-1.9</v>
      </c>
      <c r="H22" t="str">
        <f t="shared" si="1"/>
        <v>-</v>
      </c>
      <c r="I22" s="1">
        <v>0.03</v>
      </c>
      <c r="J22">
        <v>2.9</v>
      </c>
      <c r="K22" t="str">
        <f t="shared" si="2"/>
        <v>-</v>
      </c>
      <c r="L22">
        <v>5.0000000000000001E-3</v>
      </c>
      <c r="M22">
        <v>6</v>
      </c>
      <c r="N22" t="str">
        <f t="shared" si="3"/>
        <v>-</v>
      </c>
      <c r="O22" s="1">
        <v>-0.04</v>
      </c>
      <c r="P22">
        <v>-3.9</v>
      </c>
      <c r="Q22" t="str">
        <f t="shared" si="4"/>
        <v>-</v>
      </c>
      <c r="R22">
        <v>-1.2E-2</v>
      </c>
      <c r="S22">
        <v>-11.4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0.38</v>
      </c>
      <c r="D23">
        <v>11.1</v>
      </c>
      <c r="E23" t="str">
        <f t="shared" si="0"/>
        <v>-</v>
      </c>
      <c r="F23">
        <v>5.0000000000000001E-3</v>
      </c>
      <c r="G23">
        <v>2.4</v>
      </c>
      <c r="H23" t="str">
        <f t="shared" si="1"/>
        <v>-</v>
      </c>
      <c r="I23" s="1">
        <v>0.56999999999999995</v>
      </c>
      <c r="J23">
        <v>19.600000000000001</v>
      </c>
      <c r="K23" t="str">
        <f t="shared" si="2"/>
        <v>-</v>
      </c>
      <c r="L23">
        <v>4.0000000000000001E-3</v>
      </c>
      <c r="M23">
        <v>2.2000000000000002</v>
      </c>
      <c r="N23" t="str">
        <f t="shared" si="3"/>
        <v>-</v>
      </c>
      <c r="O23" s="1">
        <v>0.48</v>
      </c>
      <c r="P23">
        <v>15.9</v>
      </c>
      <c r="Q23" t="str">
        <f t="shared" si="4"/>
        <v>-</v>
      </c>
      <c r="R23">
        <v>2E-3</v>
      </c>
      <c r="S23">
        <v>1.1000000000000001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0.13</v>
      </c>
      <c r="D24">
        <v>19.100000000000001</v>
      </c>
      <c r="E24" t="str">
        <f t="shared" si="0"/>
        <v>-</v>
      </c>
      <c r="F24">
        <v>-1E-3</v>
      </c>
      <c r="G24">
        <v>-1.5</v>
      </c>
      <c r="H24" t="str">
        <f t="shared" si="1"/>
        <v>-</v>
      </c>
      <c r="I24" s="1">
        <v>-0.06</v>
      </c>
      <c r="J24">
        <v>-7.9</v>
      </c>
      <c r="K24" t="str">
        <f t="shared" si="2"/>
        <v>-</v>
      </c>
      <c r="L24">
        <v>-5.3999999999999999E-2</v>
      </c>
      <c r="M24">
        <v>-54.5</v>
      </c>
      <c r="N24" t="str">
        <f t="shared" si="3"/>
        <v>?</v>
      </c>
      <c r="O24" s="1">
        <v>0.15</v>
      </c>
      <c r="P24">
        <v>22.7</v>
      </c>
      <c r="Q24" t="str">
        <f t="shared" si="4"/>
        <v>-</v>
      </c>
      <c r="R24">
        <v>-2.1000000000000001E-2</v>
      </c>
      <c r="S24">
        <v>-25.9</v>
      </c>
      <c r="T24" s="2" t="str">
        <f t="shared" si="5"/>
        <v>-</v>
      </c>
    </row>
    <row r="25" spans="1:20">
      <c r="A25" s="11" t="s">
        <v>9</v>
      </c>
      <c r="B25" s="12" t="s">
        <v>18</v>
      </c>
      <c r="C25">
        <v>-0.55000000000000004</v>
      </c>
      <c r="D25">
        <v>-30.9</v>
      </c>
      <c r="E25" t="str">
        <f t="shared" si="0"/>
        <v>-</v>
      </c>
      <c r="F25">
        <v>-1.6E-2</v>
      </c>
      <c r="G25">
        <v>-12</v>
      </c>
      <c r="H25" t="str">
        <f t="shared" si="1"/>
        <v>-</v>
      </c>
      <c r="I25" s="1">
        <v>-0.25</v>
      </c>
      <c r="J25">
        <v>-16.600000000000001</v>
      </c>
      <c r="K25" t="str">
        <f t="shared" si="2"/>
        <v>-</v>
      </c>
      <c r="L25">
        <v>6.0000000000000001E-3</v>
      </c>
      <c r="M25">
        <v>5.2</v>
      </c>
      <c r="N25" t="str">
        <f t="shared" si="3"/>
        <v>-</v>
      </c>
      <c r="O25" s="1">
        <v>-0.46</v>
      </c>
      <c r="P25">
        <v>-27.4</v>
      </c>
      <c r="Q25" t="str">
        <f t="shared" si="4"/>
        <v>-</v>
      </c>
      <c r="R25">
        <v>1.0999999999999999E-2</v>
      </c>
      <c r="S25">
        <v>9.8000000000000007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0.12</v>
      </c>
      <c r="D26">
        <v>9</v>
      </c>
      <c r="E26" t="str">
        <f t="shared" si="0"/>
        <v>-</v>
      </c>
      <c r="F26">
        <v>3.0000000000000001E-3</v>
      </c>
      <c r="G26">
        <v>2.6</v>
      </c>
      <c r="H26" t="str">
        <f t="shared" si="1"/>
        <v>-</v>
      </c>
      <c r="I26" s="1">
        <v>-0.34</v>
      </c>
      <c r="J26">
        <v>-27.4</v>
      </c>
      <c r="K26" t="str">
        <f t="shared" si="2"/>
        <v>-</v>
      </c>
      <c r="L26">
        <v>-2.4E-2</v>
      </c>
      <c r="M26">
        <v>-22.2</v>
      </c>
      <c r="N26" t="str">
        <f t="shared" si="3"/>
        <v>-</v>
      </c>
      <c r="O26" s="1">
        <v>0.02</v>
      </c>
      <c r="P26">
        <v>1.6</v>
      </c>
      <c r="Q26" t="str">
        <f t="shared" si="4"/>
        <v>-</v>
      </c>
      <c r="R26">
        <v>1.4999999999999999E-2</v>
      </c>
      <c r="S26">
        <v>14.6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-0.12</v>
      </c>
      <c r="D27">
        <v>-4.2</v>
      </c>
      <c r="E27" t="str">
        <f t="shared" si="0"/>
        <v>-</v>
      </c>
      <c r="F27">
        <v>3.5999999999999997E-2</v>
      </c>
      <c r="G27">
        <v>23.8</v>
      </c>
      <c r="H27" t="str">
        <f t="shared" si="1"/>
        <v>-</v>
      </c>
      <c r="I27" s="1">
        <v>-1.1000000000000001</v>
      </c>
      <c r="J27">
        <v>-31</v>
      </c>
      <c r="K27" t="str">
        <f t="shared" si="2"/>
        <v>-</v>
      </c>
      <c r="L27">
        <v>7.0000000000000001E-3</v>
      </c>
      <c r="M27">
        <v>4.5</v>
      </c>
      <c r="N27" t="str">
        <f t="shared" si="3"/>
        <v>-</v>
      </c>
      <c r="O27" s="1">
        <v>-1.29</v>
      </c>
      <c r="P27">
        <v>-36.299999999999997</v>
      </c>
      <c r="Q27" t="str">
        <f t="shared" si="4"/>
        <v>-</v>
      </c>
      <c r="R27">
        <v>1.6E-2</v>
      </c>
      <c r="S27">
        <v>11.4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0.25</v>
      </c>
      <c r="D28">
        <v>39.1</v>
      </c>
      <c r="E28" t="str">
        <f t="shared" si="0"/>
        <v>-</v>
      </c>
      <c r="F28">
        <v>1.7999999999999999E-2</v>
      </c>
      <c r="G28">
        <v>28.6</v>
      </c>
      <c r="H28" t="str">
        <f t="shared" si="1"/>
        <v>-</v>
      </c>
      <c r="I28" s="1">
        <v>0.31</v>
      </c>
      <c r="J28">
        <v>43.7</v>
      </c>
      <c r="K28" t="str">
        <f t="shared" si="2"/>
        <v>-</v>
      </c>
      <c r="L28">
        <v>4.1000000000000002E-2</v>
      </c>
      <c r="M28">
        <v>54.7</v>
      </c>
      <c r="N28" t="str">
        <f t="shared" si="3"/>
        <v>?</v>
      </c>
      <c r="O28" s="1">
        <v>0.22</v>
      </c>
      <c r="P28">
        <v>29.3</v>
      </c>
      <c r="Q28" t="str">
        <f t="shared" si="4"/>
        <v>-</v>
      </c>
      <c r="R28">
        <v>2.1999999999999999E-2</v>
      </c>
      <c r="S28">
        <v>24.4</v>
      </c>
      <c r="T28" s="2" t="str">
        <f t="shared" si="5"/>
        <v>-</v>
      </c>
    </row>
    <row r="29" spans="1:20">
      <c r="A29" s="11" t="s">
        <v>9</v>
      </c>
      <c r="B29" s="13">
        <v>0.4</v>
      </c>
      <c r="C29">
        <v>0.04</v>
      </c>
      <c r="D29">
        <v>3.4</v>
      </c>
      <c r="E29" t="str">
        <f t="shared" si="0"/>
        <v>-</v>
      </c>
      <c r="F29">
        <v>1.9E-2</v>
      </c>
      <c r="G29">
        <v>18.600000000000001</v>
      </c>
      <c r="H29" t="str">
        <f t="shared" si="1"/>
        <v>-</v>
      </c>
      <c r="I29" s="1">
        <v>-0.16</v>
      </c>
      <c r="J29">
        <v>-14</v>
      </c>
      <c r="K29" t="str">
        <f t="shared" si="2"/>
        <v>-</v>
      </c>
      <c r="L29">
        <v>-5.0000000000000001E-3</v>
      </c>
      <c r="M29">
        <v>-5.5</v>
      </c>
      <c r="N29" t="str">
        <f t="shared" si="3"/>
        <v>-</v>
      </c>
      <c r="O29" s="1">
        <v>0.15</v>
      </c>
      <c r="P29">
        <v>17</v>
      </c>
      <c r="Q29" t="str">
        <f t="shared" si="4"/>
        <v>-</v>
      </c>
      <c r="R29">
        <v>5.0000000000000001E-3</v>
      </c>
      <c r="S29">
        <v>6.1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0.15</v>
      </c>
      <c r="D30">
        <v>12.7</v>
      </c>
      <c r="E30" t="str">
        <f t="shared" si="0"/>
        <v>-</v>
      </c>
      <c r="F30">
        <v>1.4E-2</v>
      </c>
      <c r="G30">
        <v>11.9</v>
      </c>
      <c r="H30" t="str">
        <f t="shared" si="1"/>
        <v>-</v>
      </c>
      <c r="I30" s="1">
        <v>-0.06</v>
      </c>
      <c r="J30">
        <v>-6.5</v>
      </c>
      <c r="K30" t="str">
        <f t="shared" si="2"/>
        <v>-</v>
      </c>
      <c r="L30">
        <v>-8.0000000000000002E-3</v>
      </c>
      <c r="M30">
        <v>-8.1999999999999993</v>
      </c>
      <c r="N30" t="str">
        <f t="shared" si="3"/>
        <v>-</v>
      </c>
      <c r="O30" s="1">
        <v>-0.06</v>
      </c>
      <c r="P30">
        <v>-5.7</v>
      </c>
      <c r="Q30" t="str">
        <f t="shared" si="4"/>
        <v>-</v>
      </c>
      <c r="R30">
        <v>-2.1000000000000001E-2</v>
      </c>
      <c r="S30">
        <v>-19.8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0.34</v>
      </c>
      <c r="D31">
        <v>19</v>
      </c>
      <c r="E31" t="str">
        <f t="shared" si="0"/>
        <v>-</v>
      </c>
      <c r="F31">
        <v>1.6E-2</v>
      </c>
      <c r="G31">
        <v>10.5</v>
      </c>
      <c r="H31" t="str">
        <f t="shared" si="1"/>
        <v>-</v>
      </c>
      <c r="I31" s="1">
        <v>0.17</v>
      </c>
      <c r="J31">
        <v>9.8000000000000007</v>
      </c>
      <c r="K31" t="str">
        <f t="shared" si="2"/>
        <v>-</v>
      </c>
      <c r="L31">
        <v>-2E-3</v>
      </c>
      <c r="M31">
        <v>-1.6</v>
      </c>
      <c r="N31" t="str">
        <f t="shared" si="3"/>
        <v>-</v>
      </c>
      <c r="O31" s="1">
        <v>0.72</v>
      </c>
      <c r="P31">
        <v>52.6</v>
      </c>
      <c r="Q31" t="str">
        <f t="shared" si="4"/>
        <v>?</v>
      </c>
      <c r="R31">
        <v>1.7999999999999999E-2</v>
      </c>
      <c r="S31">
        <v>17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0.33</v>
      </c>
      <c r="D32">
        <v>32.700000000000003</v>
      </c>
      <c r="E32" t="str">
        <f t="shared" si="0"/>
        <v>-</v>
      </c>
      <c r="F32">
        <v>1.2E-2</v>
      </c>
      <c r="G32">
        <v>10.1</v>
      </c>
      <c r="H32" t="str">
        <f t="shared" si="1"/>
        <v>-</v>
      </c>
      <c r="I32" s="1">
        <v>-0.12</v>
      </c>
      <c r="J32">
        <v>-15.2</v>
      </c>
      <c r="K32" t="str">
        <f t="shared" si="2"/>
        <v>-</v>
      </c>
      <c r="L32">
        <v>-1.2999999999999999E-2</v>
      </c>
      <c r="M32">
        <v>-16.7</v>
      </c>
      <c r="N32" t="str">
        <f t="shared" si="3"/>
        <v>-</v>
      </c>
      <c r="O32" s="1">
        <v>0.14000000000000001</v>
      </c>
      <c r="P32">
        <v>17.899999999999999</v>
      </c>
      <c r="Q32" t="str">
        <f t="shared" si="4"/>
        <v>-</v>
      </c>
      <c r="R32">
        <v>2.5000000000000001E-2</v>
      </c>
      <c r="S32">
        <v>34.200000000000003</v>
      </c>
      <c r="T32" s="2" t="str">
        <f t="shared" si="5"/>
        <v>-</v>
      </c>
    </row>
    <row r="33" spans="1:20">
      <c r="A33" s="11" t="s">
        <v>9</v>
      </c>
      <c r="B33" s="13">
        <v>0.5</v>
      </c>
      <c r="C33">
        <v>0.15</v>
      </c>
      <c r="D33">
        <v>13.3</v>
      </c>
      <c r="E33" t="str">
        <f t="shared" si="0"/>
        <v>-</v>
      </c>
      <c r="F33">
        <v>6.0000000000000001E-3</v>
      </c>
      <c r="G33">
        <v>5.3</v>
      </c>
      <c r="H33" t="str">
        <f t="shared" si="1"/>
        <v>-</v>
      </c>
      <c r="I33" s="1">
        <v>0.11</v>
      </c>
      <c r="J33">
        <v>10.4</v>
      </c>
      <c r="K33" t="str">
        <f t="shared" si="2"/>
        <v>-</v>
      </c>
      <c r="L33">
        <v>8.9999999999999993E-3</v>
      </c>
      <c r="M33">
        <v>8.8000000000000007</v>
      </c>
      <c r="N33" t="str">
        <f t="shared" si="3"/>
        <v>-</v>
      </c>
      <c r="O33" s="1">
        <v>0.01</v>
      </c>
      <c r="P33">
        <v>1</v>
      </c>
      <c r="Q33" t="str">
        <f t="shared" si="4"/>
        <v>-</v>
      </c>
      <c r="R33">
        <v>-7.0000000000000001E-3</v>
      </c>
      <c r="S33">
        <v>-7.2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0.42</v>
      </c>
      <c r="D34">
        <v>46.2</v>
      </c>
      <c r="E34" t="str">
        <f t="shared" si="0"/>
        <v>-</v>
      </c>
      <c r="F34">
        <v>3.3000000000000002E-2</v>
      </c>
      <c r="G34">
        <v>37.1</v>
      </c>
      <c r="H34" t="str">
        <f t="shared" si="1"/>
        <v>-</v>
      </c>
      <c r="I34" s="1">
        <v>0.1</v>
      </c>
      <c r="J34">
        <v>11.9</v>
      </c>
      <c r="K34" t="str">
        <f t="shared" si="2"/>
        <v>-</v>
      </c>
      <c r="L34">
        <v>-6.0000000000000001E-3</v>
      </c>
      <c r="M34">
        <v>-6.6</v>
      </c>
      <c r="N34" t="str">
        <f t="shared" si="3"/>
        <v>-</v>
      </c>
      <c r="O34" s="1">
        <v>0.09</v>
      </c>
      <c r="P34">
        <v>10.8</v>
      </c>
      <c r="Q34" t="str">
        <f t="shared" si="4"/>
        <v>-</v>
      </c>
      <c r="R34">
        <v>-6.0000000000000001E-3</v>
      </c>
      <c r="S34">
        <v>-6.5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0.19</v>
      </c>
      <c r="D35">
        <v>7.9</v>
      </c>
      <c r="E35" t="str">
        <f t="shared" si="0"/>
        <v>-</v>
      </c>
      <c r="F35">
        <v>-1E-3</v>
      </c>
      <c r="G35">
        <v>-0.7</v>
      </c>
      <c r="H35" t="str">
        <f t="shared" si="1"/>
        <v>-</v>
      </c>
      <c r="I35" s="1">
        <v>0.77</v>
      </c>
      <c r="J35">
        <v>36.200000000000003</v>
      </c>
      <c r="K35" t="str">
        <f t="shared" si="2"/>
        <v>-</v>
      </c>
      <c r="L35">
        <v>3.0000000000000001E-3</v>
      </c>
      <c r="M35">
        <v>2.2000000000000002</v>
      </c>
      <c r="N35" t="str">
        <f t="shared" si="3"/>
        <v>-</v>
      </c>
      <c r="O35" s="1">
        <v>1.1100000000000001</v>
      </c>
      <c r="P35">
        <v>53.6</v>
      </c>
      <c r="Q35" t="str">
        <f t="shared" si="4"/>
        <v>?</v>
      </c>
      <c r="R35">
        <v>8.0000000000000002E-3</v>
      </c>
      <c r="S35">
        <v>5.7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0.02</v>
      </c>
      <c r="D36">
        <v>2</v>
      </c>
      <c r="E36" t="str">
        <f t="shared" si="0"/>
        <v>-</v>
      </c>
      <c r="F36">
        <v>8.9999999999999993E-3</v>
      </c>
      <c r="G36">
        <v>8.4</v>
      </c>
      <c r="H36" t="str">
        <f t="shared" si="1"/>
        <v>-</v>
      </c>
      <c r="I36" s="1">
        <v>0.18</v>
      </c>
      <c r="J36">
        <v>27.7</v>
      </c>
      <c r="K36" t="str">
        <f t="shared" si="2"/>
        <v>-</v>
      </c>
      <c r="L36">
        <v>-2.4E-2</v>
      </c>
      <c r="M36">
        <v>-28.9</v>
      </c>
      <c r="N36" t="str">
        <f t="shared" si="3"/>
        <v>-</v>
      </c>
      <c r="O36" s="1">
        <v>0.34</v>
      </c>
      <c r="P36">
        <v>47.2</v>
      </c>
      <c r="Q36" t="str">
        <f t="shared" si="4"/>
        <v>-</v>
      </c>
      <c r="R36">
        <v>4.9000000000000002E-2</v>
      </c>
      <c r="S36">
        <v>58.3</v>
      </c>
      <c r="T36" s="2" t="str">
        <f t="shared" si="5"/>
        <v>?</v>
      </c>
    </row>
    <row r="37" spans="1:20">
      <c r="A37" s="11" t="s">
        <v>9</v>
      </c>
      <c r="B37" s="13">
        <v>0.6</v>
      </c>
      <c r="C37">
        <v>0.28999999999999998</v>
      </c>
      <c r="D37">
        <v>28.4</v>
      </c>
      <c r="E37" t="str">
        <f t="shared" si="0"/>
        <v>-</v>
      </c>
      <c r="F37">
        <v>1.6E-2</v>
      </c>
      <c r="G37">
        <v>15.2</v>
      </c>
      <c r="H37" t="str">
        <f t="shared" si="1"/>
        <v>-</v>
      </c>
      <c r="I37" s="1">
        <v>0.21</v>
      </c>
      <c r="J37">
        <v>20</v>
      </c>
      <c r="K37" t="str">
        <f t="shared" si="2"/>
        <v>-</v>
      </c>
      <c r="L37">
        <v>7.0000000000000001E-3</v>
      </c>
      <c r="M37">
        <v>6.3</v>
      </c>
      <c r="N37" t="str">
        <f t="shared" si="3"/>
        <v>-</v>
      </c>
      <c r="O37" s="1">
        <v>0.16</v>
      </c>
      <c r="P37">
        <v>14.8</v>
      </c>
      <c r="Q37" t="str">
        <f t="shared" si="4"/>
        <v>-</v>
      </c>
      <c r="R37">
        <v>-1E-3</v>
      </c>
      <c r="S37">
        <v>-0.9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0.19</v>
      </c>
      <c r="D38">
        <v>20.7</v>
      </c>
      <c r="E38" t="str">
        <f t="shared" si="0"/>
        <v>-</v>
      </c>
      <c r="F38">
        <v>-1E-3</v>
      </c>
      <c r="G38">
        <v>-1.1000000000000001</v>
      </c>
      <c r="H38" t="str">
        <f t="shared" si="1"/>
        <v>-</v>
      </c>
      <c r="I38" s="1">
        <v>0.26</v>
      </c>
      <c r="J38">
        <v>31</v>
      </c>
      <c r="K38" t="str">
        <f t="shared" si="2"/>
        <v>-</v>
      </c>
      <c r="L38">
        <v>1.4999999999999999E-2</v>
      </c>
      <c r="M38">
        <v>18.5</v>
      </c>
      <c r="N38" t="str">
        <f t="shared" si="3"/>
        <v>-</v>
      </c>
      <c r="O38" s="1">
        <v>0.28999999999999998</v>
      </c>
      <c r="P38">
        <v>35.4</v>
      </c>
      <c r="Q38" t="str">
        <f t="shared" si="4"/>
        <v>-</v>
      </c>
      <c r="R38">
        <v>2.9000000000000001E-2</v>
      </c>
      <c r="S38">
        <v>38.700000000000003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0.23</v>
      </c>
      <c r="D39">
        <v>7.4</v>
      </c>
      <c r="E39" t="str">
        <f t="shared" si="0"/>
        <v>-</v>
      </c>
      <c r="F39">
        <v>1.4E-2</v>
      </c>
      <c r="G39">
        <v>7.4</v>
      </c>
      <c r="H39" t="str">
        <f t="shared" si="1"/>
        <v>-</v>
      </c>
      <c r="I39" s="1">
        <v>0.38</v>
      </c>
      <c r="J39">
        <v>14</v>
      </c>
      <c r="K39" t="str">
        <f t="shared" si="2"/>
        <v>-</v>
      </c>
      <c r="L39">
        <v>1E-3</v>
      </c>
      <c r="M39">
        <v>0.7</v>
      </c>
      <c r="N39" t="str">
        <f t="shared" si="3"/>
        <v>-</v>
      </c>
      <c r="O39" s="1">
        <v>0.53</v>
      </c>
      <c r="P39">
        <v>19.600000000000001</v>
      </c>
      <c r="Q39" t="str">
        <f t="shared" si="4"/>
        <v>-</v>
      </c>
      <c r="R39">
        <v>1.4E-2</v>
      </c>
      <c r="S39">
        <v>9.1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0.39</v>
      </c>
      <c r="D40">
        <v>44.3</v>
      </c>
      <c r="E40" t="str">
        <f t="shared" si="0"/>
        <v>-</v>
      </c>
      <c r="F40">
        <v>2.4E-2</v>
      </c>
      <c r="G40">
        <v>22.2</v>
      </c>
      <c r="H40" t="str">
        <f t="shared" si="1"/>
        <v>-</v>
      </c>
      <c r="I40" s="1">
        <v>0.13</v>
      </c>
      <c r="J40">
        <v>17.100000000000001</v>
      </c>
      <c r="K40" t="str">
        <f t="shared" si="2"/>
        <v>-</v>
      </c>
      <c r="L40">
        <v>-4.7E-2</v>
      </c>
      <c r="M40">
        <v>-40.9</v>
      </c>
      <c r="N40" t="str">
        <f t="shared" si="3"/>
        <v>-</v>
      </c>
      <c r="O40" s="1">
        <v>0.16</v>
      </c>
      <c r="P40">
        <v>19.5</v>
      </c>
      <c r="Q40" t="str">
        <f t="shared" si="4"/>
        <v>-</v>
      </c>
      <c r="R40">
        <v>-0.02</v>
      </c>
      <c r="S40">
        <v>-28.6</v>
      </c>
      <c r="T40" s="2" t="str">
        <f t="shared" si="5"/>
        <v>-</v>
      </c>
    </row>
    <row r="41" spans="1:20">
      <c r="A41" s="11" t="s">
        <v>9</v>
      </c>
      <c r="B41" s="13">
        <v>0.7</v>
      </c>
      <c r="C41">
        <v>0.17</v>
      </c>
      <c r="D41">
        <v>14.3</v>
      </c>
      <c r="E41" t="str">
        <f t="shared" si="0"/>
        <v>-</v>
      </c>
      <c r="F41">
        <v>2.1000000000000001E-2</v>
      </c>
      <c r="G41">
        <v>18.3</v>
      </c>
      <c r="H41" t="str">
        <f t="shared" si="1"/>
        <v>-</v>
      </c>
      <c r="I41" s="1">
        <v>0.17</v>
      </c>
      <c r="J41">
        <v>14.3</v>
      </c>
      <c r="K41" t="str">
        <f t="shared" si="2"/>
        <v>-</v>
      </c>
      <c r="L41">
        <v>4.0000000000000001E-3</v>
      </c>
      <c r="M41">
        <v>3.3</v>
      </c>
      <c r="N41" t="str">
        <f t="shared" si="3"/>
        <v>-</v>
      </c>
      <c r="O41" s="1">
        <v>0.13</v>
      </c>
      <c r="P41">
        <v>10.5</v>
      </c>
      <c r="Q41" t="str">
        <f t="shared" si="4"/>
        <v>-</v>
      </c>
      <c r="R41">
        <v>6.0000000000000001E-3</v>
      </c>
      <c r="S41">
        <v>4.9000000000000004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0.2</v>
      </c>
      <c r="D42">
        <v>21.1</v>
      </c>
      <c r="E42" t="str">
        <f t="shared" si="0"/>
        <v>-</v>
      </c>
      <c r="F42">
        <v>1.7999999999999999E-2</v>
      </c>
      <c r="G42">
        <v>20.7</v>
      </c>
      <c r="H42" t="str">
        <f t="shared" si="1"/>
        <v>-</v>
      </c>
      <c r="I42" s="1">
        <v>0.24</v>
      </c>
      <c r="J42">
        <v>28.9</v>
      </c>
      <c r="K42" t="str">
        <f t="shared" si="2"/>
        <v>-</v>
      </c>
      <c r="L42">
        <v>1.4999999999999999E-2</v>
      </c>
      <c r="M42">
        <v>18.8</v>
      </c>
      <c r="N42" t="str">
        <f t="shared" si="3"/>
        <v>-</v>
      </c>
      <c r="O42" s="1">
        <v>0.18</v>
      </c>
      <c r="P42">
        <v>19.399999999999999</v>
      </c>
      <c r="Q42" t="str">
        <f t="shared" si="4"/>
        <v>-</v>
      </c>
      <c r="R42">
        <v>1.6E-2</v>
      </c>
      <c r="S42">
        <v>17.8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0.89</v>
      </c>
      <c r="D43">
        <v>27</v>
      </c>
      <c r="E43" t="str">
        <f t="shared" si="0"/>
        <v>-</v>
      </c>
      <c r="F43">
        <v>2.5000000000000001E-2</v>
      </c>
      <c r="G43">
        <v>12</v>
      </c>
      <c r="H43" t="str">
        <f t="shared" si="1"/>
        <v>-</v>
      </c>
      <c r="I43" s="1">
        <v>0.04</v>
      </c>
      <c r="J43">
        <v>1</v>
      </c>
      <c r="K43" t="str">
        <f t="shared" si="2"/>
        <v>-</v>
      </c>
      <c r="L43">
        <v>0.01</v>
      </c>
      <c r="M43">
        <v>4.7</v>
      </c>
      <c r="N43" t="str">
        <f t="shared" si="3"/>
        <v>-</v>
      </c>
      <c r="O43" s="1">
        <v>-0.04</v>
      </c>
      <c r="P43">
        <v>-1</v>
      </c>
      <c r="Q43" t="str">
        <f t="shared" si="4"/>
        <v>-</v>
      </c>
      <c r="R43">
        <v>1.7999999999999999E-2</v>
      </c>
      <c r="S43">
        <v>8.6999999999999993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0.02</v>
      </c>
      <c r="D44">
        <v>2.7</v>
      </c>
      <c r="E44" t="str">
        <f t="shared" si="0"/>
        <v>-</v>
      </c>
      <c r="F44">
        <v>-0.01</v>
      </c>
      <c r="G44">
        <v>-12.5</v>
      </c>
      <c r="H44" t="str">
        <f t="shared" si="1"/>
        <v>-</v>
      </c>
      <c r="I44" s="1">
        <v>0.52</v>
      </c>
      <c r="J44">
        <v>77.599999999999994</v>
      </c>
      <c r="K44" t="str">
        <f t="shared" si="2"/>
        <v>?</v>
      </c>
      <c r="L44">
        <v>-4.0000000000000001E-3</v>
      </c>
      <c r="M44">
        <v>-5.3</v>
      </c>
      <c r="N44" t="str">
        <f t="shared" si="3"/>
        <v>-</v>
      </c>
      <c r="O44" s="1">
        <v>0.47</v>
      </c>
      <c r="P44">
        <v>68.099999999999994</v>
      </c>
      <c r="Q44" t="str">
        <f t="shared" si="4"/>
        <v>?</v>
      </c>
      <c r="R44">
        <v>6.0000000000000001E-3</v>
      </c>
      <c r="S44">
        <v>10.7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-0.52</v>
      </c>
      <c r="D45">
        <v>-27.7</v>
      </c>
      <c r="E45" t="str">
        <f t="shared" si="0"/>
        <v>-</v>
      </c>
      <c r="F45">
        <v>2E-3</v>
      </c>
      <c r="G45">
        <v>1.3</v>
      </c>
      <c r="H45" t="str">
        <f t="shared" si="1"/>
        <v>-</v>
      </c>
      <c r="I45" s="1">
        <v>-0.94</v>
      </c>
      <c r="J45">
        <v>-31</v>
      </c>
      <c r="K45" t="str">
        <f t="shared" si="2"/>
        <v>-</v>
      </c>
      <c r="L45">
        <v>-3.0000000000000001E-3</v>
      </c>
      <c r="M45">
        <v>-1.9</v>
      </c>
      <c r="N45" t="str">
        <f t="shared" si="3"/>
        <v>-</v>
      </c>
      <c r="O45" s="1">
        <v>-0.74</v>
      </c>
      <c r="P45">
        <v>-22.2</v>
      </c>
      <c r="Q45" t="str">
        <f t="shared" si="4"/>
        <v>-</v>
      </c>
      <c r="R45">
        <v>1.9E-2</v>
      </c>
      <c r="S45">
        <v>12.3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-0.91</v>
      </c>
      <c r="D46">
        <v>-39.1</v>
      </c>
      <c r="E46" t="str">
        <f t="shared" si="0"/>
        <v>-</v>
      </c>
      <c r="F46">
        <v>-0.03</v>
      </c>
      <c r="G46">
        <v>-23.8</v>
      </c>
      <c r="H46" t="str">
        <f t="shared" si="1"/>
        <v>-</v>
      </c>
      <c r="I46" s="1">
        <v>-2.44</v>
      </c>
      <c r="J46">
        <v>-49</v>
      </c>
      <c r="K46" t="str">
        <f t="shared" si="2"/>
        <v>-</v>
      </c>
      <c r="L46">
        <v>-2.1000000000000001E-2</v>
      </c>
      <c r="M46">
        <v>-9.1</v>
      </c>
      <c r="N46" t="str">
        <f t="shared" si="3"/>
        <v>-</v>
      </c>
      <c r="O46" s="1">
        <v>-2.77</v>
      </c>
      <c r="P46">
        <v>-51.4</v>
      </c>
      <c r="Q46" t="str">
        <f t="shared" si="4"/>
        <v>?</v>
      </c>
      <c r="R46">
        <v>-1.4999999999999999E-2</v>
      </c>
      <c r="S46">
        <v>-6.5</v>
      </c>
      <c r="T46" s="2" t="str">
        <f t="shared" si="5"/>
        <v>-</v>
      </c>
    </row>
    <row r="47" spans="1:20">
      <c r="A47" s="11" t="s">
        <v>12</v>
      </c>
      <c r="B47" s="13">
        <v>0.8</v>
      </c>
      <c r="C47">
        <v>-0.54</v>
      </c>
      <c r="D47">
        <v>-10.7</v>
      </c>
      <c r="E47" t="str">
        <f t="shared" si="0"/>
        <v>-</v>
      </c>
      <c r="F47">
        <v>1.6E-2</v>
      </c>
      <c r="G47">
        <v>7</v>
      </c>
      <c r="H47" t="str">
        <f t="shared" si="1"/>
        <v>-</v>
      </c>
      <c r="I47" s="1">
        <v>-0.01</v>
      </c>
      <c r="J47">
        <v>-0.1</v>
      </c>
      <c r="K47" t="str">
        <f t="shared" si="2"/>
        <v>-</v>
      </c>
      <c r="L47">
        <v>-2.1999999999999999E-2</v>
      </c>
      <c r="M47">
        <v>-8.5</v>
      </c>
      <c r="N47" t="str">
        <f t="shared" si="3"/>
        <v>-</v>
      </c>
      <c r="O47" s="1">
        <v>0.28999999999999998</v>
      </c>
      <c r="P47">
        <v>4</v>
      </c>
      <c r="Q47" t="str">
        <f t="shared" si="4"/>
        <v>-</v>
      </c>
      <c r="R47">
        <v>-7.0000000000000001E-3</v>
      </c>
      <c r="S47">
        <v>-2.7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1.44</v>
      </c>
      <c r="D48">
        <v>35.299999999999997</v>
      </c>
      <c r="E48" t="str">
        <f t="shared" si="0"/>
        <v>-</v>
      </c>
      <c r="F48">
        <v>5.8999999999999997E-2</v>
      </c>
      <c r="G48">
        <v>79.7</v>
      </c>
      <c r="H48" t="str">
        <f t="shared" si="1"/>
        <v>?</v>
      </c>
      <c r="I48" s="1">
        <v>2.69</v>
      </c>
      <c r="J48">
        <v>53.4</v>
      </c>
      <c r="K48" t="str">
        <f t="shared" si="2"/>
        <v>?</v>
      </c>
      <c r="L48">
        <v>0.17299999999999999</v>
      </c>
      <c r="M48">
        <v>219</v>
      </c>
      <c r="N48" t="str">
        <f t="shared" si="3"/>
        <v>?</v>
      </c>
      <c r="O48" s="1">
        <v>3.07</v>
      </c>
      <c r="P48">
        <v>62.4</v>
      </c>
      <c r="Q48" t="str">
        <f t="shared" si="4"/>
        <v>?</v>
      </c>
      <c r="R48">
        <v>0.159</v>
      </c>
      <c r="S48">
        <v>196.3</v>
      </c>
      <c r="T48" s="2" t="str">
        <f t="shared" si="5"/>
        <v>?</v>
      </c>
    </row>
    <row r="49" spans="1:20">
      <c r="A49" s="11" t="s">
        <v>9</v>
      </c>
      <c r="B49" s="13">
        <v>0.9</v>
      </c>
      <c r="C49">
        <v>4.71</v>
      </c>
      <c r="D49">
        <v>55.8</v>
      </c>
      <c r="E49" t="str">
        <f t="shared" si="0"/>
        <v>?</v>
      </c>
      <c r="F49">
        <v>0.42799999999999999</v>
      </c>
      <c r="G49">
        <v>185.3</v>
      </c>
      <c r="H49" t="str">
        <f t="shared" si="1"/>
        <v>?</v>
      </c>
      <c r="I49" s="1">
        <v>6.12</v>
      </c>
      <c r="J49">
        <v>76.900000000000006</v>
      </c>
      <c r="K49" t="str">
        <f t="shared" si="2"/>
        <v>?</v>
      </c>
      <c r="L49">
        <v>0.40899999999999997</v>
      </c>
      <c r="M49">
        <v>186.8</v>
      </c>
      <c r="N49" t="str">
        <f t="shared" si="3"/>
        <v>?</v>
      </c>
      <c r="O49" s="1">
        <v>6.04</v>
      </c>
      <c r="P49">
        <v>75.7</v>
      </c>
      <c r="Q49" t="str">
        <f t="shared" si="4"/>
        <v>?</v>
      </c>
      <c r="R49">
        <v>0.41599999999999998</v>
      </c>
      <c r="S49">
        <v>194.4</v>
      </c>
      <c r="T49" s="2" t="str">
        <f t="shared" si="5"/>
        <v>?</v>
      </c>
    </row>
    <row r="50" spans="1:20">
      <c r="A50" s="11" t="s">
        <v>11</v>
      </c>
      <c r="B50" s="13">
        <v>0.9</v>
      </c>
      <c r="C50">
        <v>3.63</v>
      </c>
      <c r="D50">
        <v>39.5</v>
      </c>
      <c r="E50" t="str">
        <f t="shared" si="0"/>
        <v>-</v>
      </c>
      <c r="F50">
        <v>0.20799999999999999</v>
      </c>
      <c r="G50">
        <v>87.8</v>
      </c>
      <c r="H50" t="str">
        <f t="shared" si="1"/>
        <v>?</v>
      </c>
      <c r="I50" s="1">
        <v>2.62</v>
      </c>
      <c r="J50">
        <v>27.6</v>
      </c>
      <c r="K50" t="str">
        <f t="shared" si="2"/>
        <v>-</v>
      </c>
      <c r="L50">
        <v>0.36699999999999999</v>
      </c>
      <c r="M50">
        <v>173.9</v>
      </c>
      <c r="N50" t="str">
        <f t="shared" si="3"/>
        <v>?</v>
      </c>
      <c r="O50" s="1">
        <v>2.65</v>
      </c>
      <c r="P50">
        <v>28</v>
      </c>
      <c r="Q50" t="str">
        <f t="shared" si="4"/>
        <v>-</v>
      </c>
      <c r="R50">
        <v>0.36</v>
      </c>
      <c r="S50">
        <v>165.9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0.82</v>
      </c>
      <c r="D51">
        <v>9.9</v>
      </c>
      <c r="E51" t="str">
        <f t="shared" si="0"/>
        <v>-</v>
      </c>
      <c r="F51">
        <v>0.153</v>
      </c>
      <c r="G51">
        <v>110.1</v>
      </c>
      <c r="H51" t="str">
        <f t="shared" si="1"/>
        <v>?</v>
      </c>
      <c r="I51" s="1">
        <v>2.94</v>
      </c>
      <c r="J51">
        <v>35.5</v>
      </c>
      <c r="K51" t="str">
        <f t="shared" si="2"/>
        <v>-</v>
      </c>
      <c r="L51">
        <v>0.48699999999999999</v>
      </c>
      <c r="M51">
        <v>360.7</v>
      </c>
      <c r="N51" t="str">
        <f t="shared" si="3"/>
        <v>?</v>
      </c>
      <c r="O51" s="1">
        <v>3.07</v>
      </c>
      <c r="P51">
        <v>37.200000000000003</v>
      </c>
      <c r="Q51" t="str">
        <f t="shared" si="4"/>
        <v>-</v>
      </c>
      <c r="R51">
        <v>0.47499999999999998</v>
      </c>
      <c r="S51">
        <v>349.3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9.19</v>
      </c>
      <c r="D52">
        <v>129.4</v>
      </c>
      <c r="E52" t="str">
        <f t="shared" si="0"/>
        <v>?</v>
      </c>
      <c r="F52">
        <v>0.33600000000000002</v>
      </c>
      <c r="G52">
        <v>200</v>
      </c>
      <c r="H52" t="str">
        <f t="shared" si="1"/>
        <v>?</v>
      </c>
      <c r="I52" s="1">
        <v>9.18</v>
      </c>
      <c r="J52">
        <v>132.30000000000001</v>
      </c>
      <c r="K52" t="str">
        <f t="shared" si="2"/>
        <v>?</v>
      </c>
      <c r="L52">
        <v>0.22</v>
      </c>
      <c r="M52">
        <v>91.3</v>
      </c>
      <c r="N52" t="str">
        <f t="shared" si="3"/>
        <v>?</v>
      </c>
      <c r="O52" s="1">
        <v>9.06</v>
      </c>
      <c r="P52">
        <v>130</v>
      </c>
      <c r="Q52" t="str">
        <f t="shared" si="4"/>
        <v>?</v>
      </c>
      <c r="R52">
        <v>0.221</v>
      </c>
      <c r="S52">
        <v>88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0.49208333333333326</v>
      </c>
      <c r="D56">
        <f>AVERAGE(D$5:D$52)</f>
        <v>12.81875</v>
      </c>
      <c r="F56">
        <f>AVERAGE(F$5:F$52)</f>
        <v>2.8895833333333332E-2</v>
      </c>
      <c r="G56">
        <f>AVERAGE(G$5:G$52)</f>
        <v>17.554166666666667</v>
      </c>
      <c r="H56" s="25"/>
      <c r="I56" s="1">
        <f>AVERAGE(I$5:I$52)</f>
        <v>0.50375000000000003</v>
      </c>
      <c r="J56">
        <f>AVERAGE(J$5:J$52)</f>
        <v>12.40625</v>
      </c>
      <c r="L56">
        <f>AVERAGE(L$5:L$52)</f>
        <v>3.1958333333333332E-2</v>
      </c>
      <c r="M56">
        <f>AVERAGE(M$5:M$52)</f>
        <v>20.0625</v>
      </c>
      <c r="N56" s="2"/>
      <c r="O56" s="25">
        <f>AVERAGE(O$5:O$52)</f>
        <v>0.5256249999999999</v>
      </c>
      <c r="P56">
        <f>AVERAGE(P$5:P$52)</f>
        <v>13.922916666666667</v>
      </c>
      <c r="R56">
        <f>AVERAGE(R$5:R$52)</f>
        <v>3.6229166666666673E-2</v>
      </c>
      <c r="S56">
        <f>AVERAGE(S$5:S$52)</f>
        <v>23.262499999999999</v>
      </c>
      <c r="T56" s="25"/>
    </row>
    <row r="57" spans="1:20">
      <c r="B57" s="4" t="s">
        <v>20</v>
      </c>
      <c r="C57" s="25">
        <f>MEDIAN(C$5:C$52)</f>
        <v>0.16</v>
      </c>
      <c r="D57">
        <f>MEDIAN(D$5:D$52)</f>
        <v>12.05</v>
      </c>
      <c r="F57">
        <f>MEDIAN(F$5:F$52)</f>
        <v>1.15E-2</v>
      </c>
      <c r="G57">
        <f>MEDIAN(G$5:G$52)</f>
        <v>7.9</v>
      </c>
      <c r="H57" s="25"/>
      <c r="I57" s="1">
        <f>MEDIAN(I$5:I$52)</f>
        <v>0.13500000000000001</v>
      </c>
      <c r="J57">
        <f>MEDIAN(J$5:J$52)</f>
        <v>10.25</v>
      </c>
      <c r="L57">
        <f>MEDIAN(L$5:L$52)</f>
        <v>3.5000000000000001E-3</v>
      </c>
      <c r="M57">
        <f>MEDIAN(M$5:M$52)</f>
        <v>2.2000000000000002</v>
      </c>
      <c r="N57" s="2"/>
      <c r="O57" s="25">
        <f>MEDIAN(O$5:O$52)</f>
        <v>0.14500000000000002</v>
      </c>
      <c r="P57">
        <f>MEDIAN(P$5:P$52)</f>
        <v>10.65</v>
      </c>
      <c r="R57">
        <f>MEDIAN(R$5:R$52)</f>
        <v>6.0000000000000001E-3</v>
      </c>
      <c r="S57">
        <f>MEDIAN(S$5:S$52)</f>
        <v>5.75</v>
      </c>
      <c r="T57" s="25"/>
    </row>
    <row r="58" spans="1:20">
      <c r="B58" s="4" t="s">
        <v>21</v>
      </c>
      <c r="C58" s="25">
        <f>STDEV(C$5:C$52)</f>
        <v>1.5783562124353721</v>
      </c>
      <c r="D58">
        <f>STDEV(D$5:D$52)</f>
        <v>27.47601395918095</v>
      </c>
      <c r="F58">
        <f>STDEV(F$5:F$52)</f>
        <v>8.5556560757504049E-2</v>
      </c>
      <c r="G58">
        <f>STDEV(G$5:G$52)</f>
        <v>45.73884218470296</v>
      </c>
      <c r="H58" s="25"/>
      <c r="I58" s="1">
        <f>STDEV(I$5:I$52)</f>
        <v>1.7509992587820586</v>
      </c>
      <c r="J58">
        <f>STDEV(J$5:J$52)</f>
        <v>31.916109493683063</v>
      </c>
      <c r="L58">
        <f>STDEV(L$5:L$52)</f>
        <v>0.11234179577527761</v>
      </c>
      <c r="M58">
        <f>STDEV(M$5:M$52)</f>
        <v>73.913456077778577</v>
      </c>
      <c r="N58" s="2"/>
      <c r="O58" s="25">
        <f>STDEV(O$5:O$52)</f>
        <v>1.7666736459449992</v>
      </c>
      <c r="P58">
        <f>STDEV(P$5:P$52)</f>
        <v>32.3939200992588</v>
      </c>
      <c r="R58">
        <f>STDEV(R$5:R$52)</f>
        <v>0.10892457659557288</v>
      </c>
      <c r="S58">
        <f>STDEV(S$5:S$52)</f>
        <v>69.389289212722218</v>
      </c>
      <c r="T58" s="25"/>
    </row>
    <row r="59" spans="1:20">
      <c r="B59" s="4" t="s">
        <v>22</v>
      </c>
      <c r="C59" s="25">
        <f>COUNTIF(C$5:C$52, "&lt;0")</f>
        <v>14</v>
      </c>
      <c r="D59">
        <f>COUNTIF(D$5:D$52, "&lt;0")</f>
        <v>14</v>
      </c>
      <c r="F59">
        <f>COUNTIF(F$5:F$52, "&lt;0")</f>
        <v>14</v>
      </c>
      <c r="G59">
        <f>COUNTIF(G$5:G$52, "&lt;0")</f>
        <v>14</v>
      </c>
      <c r="H59" s="25"/>
      <c r="I59" s="1">
        <f>COUNTIF(I$5:I$52, "&lt;0")</f>
        <v>17</v>
      </c>
      <c r="J59">
        <f>COUNTIF(J$5:J$52, "&lt;0")</f>
        <v>17</v>
      </c>
      <c r="L59">
        <f>COUNTIF(L$5:L$52, "&lt;0")</f>
        <v>20</v>
      </c>
      <c r="M59">
        <f>COUNTIF(M$5:M$52, "&lt;0")</f>
        <v>20</v>
      </c>
      <c r="N59" s="2"/>
      <c r="O59" s="25">
        <f>COUNTIF(O$5:O$52, "&lt;0")</f>
        <v>15</v>
      </c>
      <c r="P59">
        <f>COUNTIF(P$5:P$52, "&lt;0")</f>
        <v>15</v>
      </c>
      <c r="R59">
        <f>COUNTIF(R$5:R$52, "&lt;0")</f>
        <v>16</v>
      </c>
      <c r="S59">
        <f>COUNTIF(S$5:S$52, "&lt;0")</f>
        <v>16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7.4166666666666645E-2</v>
      </c>
      <c r="D63">
        <f>AVERAGE(D$5:D$28)</f>
        <v>4.9916666666666663</v>
      </c>
      <c r="F63">
        <f>AVERAGE(F$5:F$28)</f>
        <v>0</v>
      </c>
      <c r="G63">
        <f>AVERAGE(G$5:G$28)</f>
        <v>0.4916666666666667</v>
      </c>
      <c r="H63" s="25"/>
      <c r="I63" s="1">
        <f>AVERAGE(I$5:I$28)</f>
        <v>4.4999999999999991E-2</v>
      </c>
      <c r="J63">
        <f>AVERAGE(J$5:J$28)</f>
        <v>3.5708333333333333</v>
      </c>
      <c r="L63">
        <f>AVERAGE(L$5:L$28)</f>
        <v>-1.2916666666666669E-3</v>
      </c>
      <c r="M63">
        <f>AVERAGE(M$5:M$28)</f>
        <v>5.0000000000000711E-2</v>
      </c>
      <c r="N63" s="2"/>
      <c r="O63" s="25">
        <f>AVERAGE(O$5:O$28)</f>
        <v>7.4999999999999989E-3</v>
      </c>
      <c r="P63">
        <f>AVERAGE(P$5:P$28)</f>
        <v>0.99583333333333313</v>
      </c>
      <c r="R63">
        <f>AVERAGE(R$5:R$28)</f>
        <v>-1.166666666666665E-3</v>
      </c>
      <c r="S63">
        <f>AVERAGE(S$5:S$28)</f>
        <v>-1.1916666666666664</v>
      </c>
      <c r="T63" s="25"/>
    </row>
    <row r="64" spans="1:20">
      <c r="B64" s="4" t="s">
        <v>20</v>
      </c>
      <c r="C64" s="25">
        <f>MEDIAN(C$5:C$28)</f>
        <v>0.105</v>
      </c>
      <c r="D64">
        <f>MEDIAN(D$5:D$28)</f>
        <v>8.6999999999999993</v>
      </c>
      <c r="F64">
        <f>MEDIAN(F$5:F$28)</f>
        <v>2.5000000000000001E-3</v>
      </c>
      <c r="G64">
        <f>MEDIAN(G$5:G$28)</f>
        <v>2.0499999999999998</v>
      </c>
      <c r="H64" s="25"/>
      <c r="I64" s="1">
        <f>MEDIAN(I$5:I$28)</f>
        <v>0.04</v>
      </c>
      <c r="J64">
        <f>MEDIAN(J$5:J$28)</f>
        <v>3.7</v>
      </c>
      <c r="L64">
        <f>MEDIAN(L$5:L$28)</f>
        <v>4.5000000000000005E-3</v>
      </c>
      <c r="M64">
        <f>MEDIAN(M$5:M$28)</f>
        <v>3.25</v>
      </c>
      <c r="N64" s="2"/>
      <c r="O64" s="25">
        <f>MEDIAN(O$5:O$28)</f>
        <v>5.0000000000000001E-3</v>
      </c>
      <c r="P64">
        <f>MEDIAN(P$5:P$28)</f>
        <v>0.65</v>
      </c>
      <c r="R64">
        <f>MEDIAN(R$5:R$28)</f>
        <v>4.5000000000000005E-3</v>
      </c>
      <c r="S64">
        <f>MEDIAN(S$5:S$28)</f>
        <v>2.75</v>
      </c>
      <c r="T64" s="25"/>
    </row>
    <row r="65" spans="2:20">
      <c r="B65" s="4" t="s">
        <v>21</v>
      </c>
      <c r="C65" s="25">
        <f>STDEV(C$5:C$28)</f>
        <v>0.3583769774567202</v>
      </c>
      <c r="D65">
        <f>STDEV(D$5:D$28)</f>
        <v>19.758364583499638</v>
      </c>
      <c r="F65">
        <f>STDEV(F$5:F$28)</f>
        <v>2.2877746924638932E-2</v>
      </c>
      <c r="G65">
        <f>STDEV(G$5:G$28)</f>
        <v>18.59906301208575</v>
      </c>
      <c r="H65" s="25"/>
      <c r="I65" s="1">
        <f>STDEV(I$5:I$28)</f>
        <v>0.39421909600141636</v>
      </c>
      <c r="J65">
        <f>STDEV(J$5:J$28)</f>
        <v>22.361369623734486</v>
      </c>
      <c r="L65">
        <f>STDEV(L$5:L$28)</f>
        <v>2.9450738776688669E-2</v>
      </c>
      <c r="M65">
        <f>STDEV(M$5:M$28)</f>
        <v>29.916870331550101</v>
      </c>
      <c r="N65" s="2"/>
      <c r="O65" s="25">
        <f>STDEV(O$5:O$28)</f>
        <v>0.4473812691653507</v>
      </c>
      <c r="P65">
        <f>STDEV(P$5:P$28)</f>
        <v>21.638602365190792</v>
      </c>
      <c r="R65">
        <f>STDEV(R$5:R$28)</f>
        <v>2.2371695367655719E-2</v>
      </c>
      <c r="S65">
        <f>STDEV(S$5:S$28)</f>
        <v>20.948216000967438</v>
      </c>
      <c r="T65" s="25"/>
    </row>
    <row r="66" spans="2:20">
      <c r="B66" s="4" t="s">
        <v>22</v>
      </c>
      <c r="C66" s="25">
        <f>COUNTIF(C$5:C$28, "&lt;0")</f>
        <v>11</v>
      </c>
      <c r="D66">
        <f>COUNTIF(D$5:D$28, "&lt;0")</f>
        <v>11</v>
      </c>
      <c r="F66">
        <f>COUNTIF(F$5:F$28, "&lt;0")</f>
        <v>10</v>
      </c>
      <c r="G66">
        <f>COUNTIF(G$5:G$28, "&lt;0")</f>
        <v>10</v>
      </c>
      <c r="H66" s="25"/>
      <c r="I66" s="1">
        <f>COUNTIF(I$5:I$28, "&lt;0")</f>
        <v>11</v>
      </c>
      <c r="J66">
        <f>COUNTIF(J$5:J$28, "&lt;0")</f>
        <v>11</v>
      </c>
      <c r="L66">
        <f>COUNTIF(L$5:L$28, "&lt;0")</f>
        <v>9</v>
      </c>
      <c r="M66">
        <f>COUNTIF(M$5:M$28, "&lt;0")</f>
        <v>9</v>
      </c>
      <c r="N66" s="2"/>
      <c r="O66" s="25">
        <f>COUNTIF(O$5:O$28, "&lt;0")</f>
        <v>11</v>
      </c>
      <c r="P66">
        <f>COUNTIF(P$5:P$28, "&lt;0")</f>
        <v>11</v>
      </c>
      <c r="R66">
        <f>COUNTIF(R$5:R$28, "&lt;0")</f>
        <v>9</v>
      </c>
      <c r="S66">
        <f>COUNTIF(S$5:S$28, "&lt;0")</f>
        <v>9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0.90999999999999981</v>
      </c>
      <c r="D70">
        <f>AVERAGE(D$29:D$52)</f>
        <v>20.645833333333332</v>
      </c>
      <c r="F70">
        <f>AVERAGE(F$29:F$52)</f>
        <v>5.7791666666666665E-2</v>
      </c>
      <c r="G70">
        <f>AVERAGE(G$29:G$52)</f>
        <v>34.616666666666667</v>
      </c>
      <c r="H70" s="25"/>
      <c r="I70" s="1">
        <f>AVERAGE(I$29:I$52)</f>
        <v>0.96250000000000002</v>
      </c>
      <c r="J70">
        <f>AVERAGE(J$29:J$52)</f>
        <v>21.241666666666671</v>
      </c>
      <c r="L70">
        <f>AVERAGE(L$29:L$52)</f>
        <v>6.5208333333333326E-2</v>
      </c>
      <c r="M70">
        <f>AVERAGE(M$29:M$52)</f>
        <v>40.074999999999996</v>
      </c>
      <c r="N70" s="2"/>
      <c r="O70" s="25">
        <f>AVERAGE(O$29:O$52)</f>
        <v>1.04375</v>
      </c>
      <c r="P70">
        <f>AVERAGE(P$29:P$52)</f>
        <v>26.850000000000005</v>
      </c>
      <c r="R70">
        <f>AVERAGE(R$29:R$52)</f>
        <v>7.362500000000001E-2</v>
      </c>
      <c r="S70">
        <f>AVERAGE(S$29:S$52)</f>
        <v>47.716666666666669</v>
      </c>
      <c r="T70" s="25"/>
    </row>
    <row r="71" spans="2:20">
      <c r="B71" s="4" t="s">
        <v>20</v>
      </c>
      <c r="C71" s="25">
        <f>MEDIAN(C$29:C$52)</f>
        <v>0.21500000000000002</v>
      </c>
      <c r="D71">
        <f>MEDIAN(D$29:D$52)</f>
        <v>16.649999999999999</v>
      </c>
      <c r="F71">
        <f>MEDIAN(F$29:F$52)</f>
        <v>1.6E-2</v>
      </c>
      <c r="G71">
        <f>MEDIAN(G$29:G$52)</f>
        <v>11.95</v>
      </c>
      <c r="H71" s="25"/>
      <c r="I71" s="1">
        <f>MEDIAN(I$29:I$52)</f>
        <v>0.17499999999999999</v>
      </c>
      <c r="J71">
        <f>MEDIAN(J$29:J$52)</f>
        <v>15.700000000000001</v>
      </c>
      <c r="L71">
        <f>MEDIAN(L$29:L$52)</f>
        <v>2E-3</v>
      </c>
      <c r="M71">
        <f>MEDIAN(M$29:M$52)</f>
        <v>1.4500000000000002</v>
      </c>
      <c r="N71" s="2"/>
      <c r="O71" s="25">
        <f>MEDIAN(O$29:O$52)</f>
        <v>0.23499999999999999</v>
      </c>
      <c r="P71">
        <f>MEDIAN(P$29:P$52)</f>
        <v>19.45</v>
      </c>
      <c r="R71">
        <f>MEDIAN(R$29:R$52)</f>
        <v>1.4999999999999999E-2</v>
      </c>
      <c r="S71">
        <f>MEDIAN(S$29:S$52)</f>
        <v>9.8999999999999986</v>
      </c>
      <c r="T71" s="25"/>
    </row>
    <row r="72" spans="2:20">
      <c r="B72" s="4" t="s">
        <v>21</v>
      </c>
      <c r="C72" s="25">
        <f>STDEV(C$29:C$52)</f>
        <v>2.144248119971194</v>
      </c>
      <c r="D72">
        <f>STDEV(D$29:D$52)</f>
        <v>32.006860394591044</v>
      </c>
      <c r="F72">
        <f>STDEV(F$29:F$52)</f>
        <v>0.11265954065878875</v>
      </c>
      <c r="G72">
        <f>STDEV(G$29:G$52)</f>
        <v>57.632830820685854</v>
      </c>
      <c r="H72" s="25"/>
      <c r="I72" s="1">
        <f>STDEV(I$29:I$52)</f>
        <v>2.38132087935137</v>
      </c>
      <c r="J72">
        <f>STDEV(J$29:J$52)</f>
        <v>37.664525076992042</v>
      </c>
      <c r="L72">
        <f>STDEV(L$29:L$52)</f>
        <v>0.15038442887904105</v>
      </c>
      <c r="M72">
        <f>STDEV(M$29:M$52)</f>
        <v>97.124058945695623</v>
      </c>
      <c r="N72" s="2"/>
      <c r="O72" s="25">
        <f>STDEV(O$29:O$52)</f>
        <v>2.3701418275303054</v>
      </c>
      <c r="P72">
        <f>STDEV(P$29:P$52)</f>
        <v>36.433190792248041</v>
      </c>
      <c r="R72">
        <f>STDEV(R$29:R$52)</f>
        <v>0.14431210515979653</v>
      </c>
      <c r="S72">
        <f>STDEV(S$29:S$52)</f>
        <v>90.289802335574436</v>
      </c>
      <c r="T72" s="25"/>
    </row>
    <row r="73" spans="2:20">
      <c r="B73" s="4" t="s">
        <v>22</v>
      </c>
      <c r="C73" s="25">
        <f>COUNTIF(C$29:C$52, "&lt;0")</f>
        <v>3</v>
      </c>
      <c r="D73">
        <f>COUNTIF(D$29:D$52, "&lt;0")</f>
        <v>3</v>
      </c>
      <c r="F73">
        <f>COUNTIF(F$29:F$52, "&lt;0")</f>
        <v>4</v>
      </c>
      <c r="G73">
        <f>COUNTIF(G$29:G$52, "&lt;0")</f>
        <v>4</v>
      </c>
      <c r="H73" s="25"/>
      <c r="I73" s="1">
        <f>COUNTIF(I$29:I$52, "&lt;0")</f>
        <v>6</v>
      </c>
      <c r="J73">
        <f>COUNTIF(J$29:J$52, "&lt;0")</f>
        <v>6</v>
      </c>
      <c r="L73">
        <f>COUNTIF(L$29:L$52, "&lt;0")</f>
        <v>11</v>
      </c>
      <c r="M73">
        <f>COUNTIF(M$29:M$52, "&lt;0")</f>
        <v>11</v>
      </c>
      <c r="N73" s="2"/>
      <c r="O73" s="25">
        <f>COUNTIF(O$29:O$52, "&lt;0")</f>
        <v>4</v>
      </c>
      <c r="P73">
        <f>COUNTIF(P$29:P$52, "&lt;0")</f>
        <v>4</v>
      </c>
      <c r="R73">
        <f>COUNTIF(R$29:R$52, "&lt;0")</f>
        <v>7</v>
      </c>
      <c r="S73">
        <f>COUNTIF(S$29:S$52, "&lt;0")</f>
        <v>7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0.50715277777777756</v>
      </c>
      <c r="D77">
        <f>AVERAGE(D$5:D$52,J$5:J$52,P$5:P$52)</f>
        <v>13.049305555555556</v>
      </c>
      <c r="F77">
        <f>AVERAGE(F$5:F$52,L$5:L$52,R$5:R$52)</f>
        <v>3.2361111111111097E-2</v>
      </c>
      <c r="G77">
        <f>AVERAGE(G$5:G$52,M$5:M$52,S$5:S$52)</f>
        <v>20.293055555555554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0.15</v>
      </c>
      <c r="D78">
        <f>MEDIAN(D$5:D$52,J$5:J$52,P$5:P$52)</f>
        <v>10.95</v>
      </c>
      <c r="F78">
        <f>MEDIAN(F$5:F$52,L$5:L$52,R$5:R$52)</f>
        <v>6.0000000000000001E-3</v>
      </c>
      <c r="G78">
        <f>MEDIAN(G$5:G$52,M$5:M$52,S$5:S$52)</f>
        <v>5.25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1.6889396115494362</v>
      </c>
      <c r="D79">
        <f>STDEV(D$5:D$52,J$5:J$52,P$5:P$52)</f>
        <v>30.466879865603961</v>
      </c>
      <c r="F79">
        <f>STDEV(F$5:F$52,L$5:L$52,R$5:R$52)</f>
        <v>0.10228662669945661</v>
      </c>
      <c r="G79">
        <f>STDEV(G$5:G$52,M$5:M$52,S$5:S$52)</f>
        <v>63.805935726662085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46</v>
      </c>
      <c r="D80">
        <f>COUNTIF(D$5:D$52, "&lt;0")+COUNTIF(J$5:J$52, "&lt;0")+COUNTIF(P$5:P$52, "&lt;0")</f>
        <v>46</v>
      </c>
      <c r="F80">
        <f>COUNTIF(F$5:F$52, "&lt;0")+COUNTIF(L$5:L$52, "&lt;0")+COUNTIF(R$5:R$52, "&lt;0")</f>
        <v>50</v>
      </c>
      <c r="G80">
        <f>COUNTIF(G$5:G$52, "&lt;0")+COUNTIF(M$5:M$52, "&lt;0")+COUNTIF(S$5:S$52, "&lt;0")</f>
        <v>50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0.75618055555555597</v>
      </c>
      <c r="D83" cm="1">
        <f t="array" ref="D83">AVERAGE(ABS(D$5:D$52),ABS(J$5:J$52),ABS(P$5:P$52))</f>
        <v>23.66319444444445</v>
      </c>
      <c r="F83" cm="1">
        <f t="array" ref="F83">AVERAGE(ABS(F$5:F$52),ABS(L$5:L$52),ABS(R$5:R$52))</f>
        <v>4.5611111111111088E-2</v>
      </c>
      <c r="G83" cm="1">
        <f t="array" ref="G83">AVERAGE(ABS(G$5:G$52),ABS(M$5:M$52),ABS(S$5:S$52))</f>
        <v>31.895833333333339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0.23</v>
      </c>
      <c r="D84" cm="1">
        <f t="array" ref="D84">MEDIAN(ABS(D$5:D$52),ABS(J$5:J$52),ABS(P$5:P$52))</f>
        <v>16.899999999999999</v>
      </c>
      <c r="F84" cm="1">
        <f t="array" ref="F84">MEDIAN(ABS(F$5:F$52),ABS(L$5:L$52),ABS(R$5:R$52))</f>
        <v>1.4999999999999999E-2</v>
      </c>
      <c r="G84" cm="1">
        <f t="array" ref="G84">MEDIAN(ABS(G$5:G$52),ABS(M$5:M$52),ABS(S$5:S$52))</f>
        <v>11.2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1.5923918749025414</v>
      </c>
      <c r="D85" cm="1">
        <f t="array" ref="D85">STDEV(ABS(D$5:D$52),ABS(J$5:J$52),ABS(P$5:P$52))</f>
        <v>23.148292832363172</v>
      </c>
      <c r="F85" cm="1">
        <f t="array" ref="F85">STDEV(ABS(F$5:F$52),ABS(L$5:L$52),ABS(R$5:R$52))</f>
        <v>9.7068003781871137E-2</v>
      </c>
      <c r="G85" cm="1">
        <f t="array" ref="G85">STDEV(ABS(G$5:G$52),ABS(M$5:M$52),ABS(S$5:S$52))</f>
        <v>58.833891896289977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4.2222222222222203E-2</v>
      </c>
      <c r="D89">
        <f>AVERAGE(D$5:D$28,J$5:J$28,P$5:P$28)</f>
        <v>3.18611111111111</v>
      </c>
      <c r="F89">
        <f>AVERAGE(F$5:F$28,L$5:L$28,R$5:R$28)</f>
        <v>-8.1944444444444393E-4</v>
      </c>
      <c r="G89">
        <f>AVERAGE(G$5:G$28,M$5:M$28,S$5:S$28)</f>
        <v>-0.21666666666666648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2.5000000000000001E-2</v>
      </c>
      <c r="D90">
        <f>MEDIAN(D$5:D$28,J$5:J$28,P$5:P$28)</f>
        <v>2.25</v>
      </c>
      <c r="F90">
        <f>MEDIAN(F$5:F$28,L$5:L$28,R$5:R$28)</f>
        <v>4.0000000000000001E-3</v>
      </c>
      <c r="G90">
        <f>MEDIAN(G$5:G$28,M$5:M$28,S$5:S$28)</f>
        <v>2.1500000000000004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0.3969149418307571</v>
      </c>
      <c r="D91">
        <f>STDEV(D$5:D$28,J$5:J$28,P$5:P$28)</f>
        <v>21.045204904021944</v>
      </c>
      <c r="F91">
        <f>STDEV(F$5:F$28,L$5:L$28,R$5:R$28)</f>
        <v>2.4758738044297932E-2</v>
      </c>
      <c r="G91">
        <f>STDEV(G$5:G$28,M$5:M$28,S$5:S$28)</f>
        <v>23.338090728961514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33</v>
      </c>
      <c r="D92">
        <f>COUNTIF(D$5:D$28, "&lt;0")+COUNTIF(J$5:J$28, "&lt;0")+COUNTIF(P$5:P$28, "&lt;0")</f>
        <v>33</v>
      </c>
      <c r="F92">
        <f>COUNTIF(F$5:F$28, "&lt;0")+COUNTIF(L$5:L$28, "&lt;0")+COUNTIF(R$5:R$28, "&lt;0")</f>
        <v>28</v>
      </c>
      <c r="G92">
        <f>COUNTIF(G$5:G$28, "&lt;0")+COUNTIF(M$5:M$28, "&lt;0")+COUNTIF(S$5:S$28, "&lt;0")</f>
        <v>28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0.28166666666666668</v>
      </c>
      <c r="D95" cm="1">
        <f t="array" ref="D95">AVERAGE(ABS(D$5:D$28),ABS(J$5:J$28),ABS(P$5:P$28))</f>
        <v>16.813888888888886</v>
      </c>
      <c r="F95" cm="1">
        <f t="array" ref="F95">AVERAGE(ABS(F$5:F$28),ABS(L$5:L$28),ABS(R$5:R$28))</f>
        <v>1.8069444444444444E-2</v>
      </c>
      <c r="G95" cm="1">
        <f t="array" ref="G95">AVERAGE(ABS(G$5:G$28),ABS(M$5:M$28),ABS(S$5:S$28))</f>
        <v>16.225000000000001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0.185</v>
      </c>
      <c r="D96" cm="1">
        <f t="array" ref="D96">MEDIAN(ABS(D$5:D$28),ABS(J$5:J$28),ABS(P$5:P$28))</f>
        <v>13.4</v>
      </c>
      <c r="F96" cm="1">
        <f t="array" ref="F96">MEDIAN(ABS(F$5:F$28),ABS(L$5:L$28),ABS(R$5:R$28))</f>
        <v>1.2999999999999999E-2</v>
      </c>
      <c r="G96" cm="1">
        <f t="array" ref="G96">MEDIAN(ABS(G$5:G$28),ABS(M$5:M$28),ABS(S$5:S$28))</f>
        <v>10.3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0.2808839166771343</v>
      </c>
      <c r="D97" cm="1">
        <f t="array" ref="D97">STDEV(ABS(D$5:D$28),ABS(J$5:J$28),ABS(P$5:P$28))</f>
        <v>12.903731369456127</v>
      </c>
      <c r="F97" cm="1">
        <f t="array" ref="F97">STDEV(ABS(F$5:F$28),ABS(L$5:L$28),ABS(R$5:R$28))</f>
        <v>1.6809895131585394E-2</v>
      </c>
      <c r="G97" cm="1">
        <f t="array" ref="G97">STDEV(ABS(G$5:G$28),ABS(M$5:M$28),ABS(S$5:S$28))</f>
        <v>16.666004446937848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0.97208333333333308</v>
      </c>
      <c r="D101">
        <f>AVERAGE(D$29:D$52,J$29:J$52,P$29:P$52)</f>
        <v>22.912499999999998</v>
      </c>
      <c r="F101">
        <f>AVERAGE(F$29:F$52,L$29:L$52,R$29:R$52)</f>
        <v>6.5541666666666651E-2</v>
      </c>
      <c r="G101">
        <f>AVERAGE(G$29:G$52,M$29:M$52,S$29:S$52)</f>
        <v>40.802777777777784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0.19500000000000001</v>
      </c>
      <c r="D102">
        <f>MEDIAN(D$29:D$52,J$29:J$52,P$29:P$52)</f>
        <v>18.45</v>
      </c>
      <c r="F102">
        <f>MEDIAN(F$29:F$52,L$29:L$52,R$29:R$52)</f>
        <v>1.3000000000000001E-2</v>
      </c>
      <c r="G102">
        <f>MEDIAN(G$29:G$52,M$29:M$52,S$29:S$52)</f>
        <v>8.75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2.2691978712472909</v>
      </c>
      <c r="D103">
        <f>STDEV(D$29:D$52,J$29:J$52,P$29:P$52)</f>
        <v>35.061788266984813</v>
      </c>
      <c r="F103">
        <f>STDEV(F$29:F$52,L$29:L$52,R$29:R$52)</f>
        <v>0.13500578365284321</v>
      </c>
      <c r="G103">
        <f>STDEV(G$29:G$52,M$29:M$52,S$29:S$52)</f>
        <v>82.47376872307062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13</v>
      </c>
      <c r="D104">
        <f>COUNTIF(D$29:D$52, "&lt;0")+COUNTIF(J$29:J$52, "&lt;0")+COUNTIF(P$29:P$52, "&lt;0")</f>
        <v>13</v>
      </c>
      <c r="F104">
        <f>COUNTIF(F$29:F$52, "&lt;0")+COUNTIF(L$29:L$52, "&lt;0")+COUNTIF(R$29:R$52, "&lt;0")</f>
        <v>22</v>
      </c>
      <c r="G104">
        <f>COUNTIF(G$29:G$52, "&lt;0")+COUNTIF(M$29:M$52, "&lt;0")+COUNTIF(S$29:S$52, "&lt;0")</f>
        <v>22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1.2306944444444445</v>
      </c>
      <c r="D107" cm="1">
        <f t="array" ref="D107">AVERAGE(ABS(D$29:D$52),ABS(J$29:J$52),ABS(P$29:P$52))</f>
        <v>30.512500000000003</v>
      </c>
      <c r="F107" cm="1">
        <f t="array" ref="F107">AVERAGE(ABS(F$29:F$52),ABS(L$29:L$52),ABS(R$29:R$52))</f>
        <v>7.3152777777777747E-2</v>
      </c>
      <c r="G107" cm="1">
        <f t="array" ref="G107">AVERAGE(ABS(G$29:G$52),ABS(M$29:M$52),ABS(S$29:S$52))</f>
        <v>47.56666666666667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0.28999999999999998</v>
      </c>
      <c r="D108" cm="1">
        <f t="array" ref="D108">MEDIAN(ABS(D$29:D$52),ABS(J$29:J$52),ABS(P$29:P$52))</f>
        <v>20.9</v>
      </c>
      <c r="F108" cm="1">
        <f t="array" ref="F108">MEDIAN(ABS(F$29:F$52),ABS(L$29:L$52),ABS(R$29:R$52))</f>
        <v>1.6E-2</v>
      </c>
      <c r="G108" cm="1">
        <f t="array" ref="G108">MEDIAN(ABS(G$29:G$52),ABS(M$29:M$52),ABS(S$29:S$52))</f>
        <v>12.15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2.1381236518010907</v>
      </c>
      <c r="D109" cm="1">
        <f t="array" ref="D109">STDEV(ABS(D$29:D$52),ABS(J$29:J$52),ABS(P$29:P$52))</f>
        <v>28.593360489535108</v>
      </c>
      <c r="F109" cm="1">
        <f t="array" ref="F109">STDEV(ABS(F$29:F$52),ABS(L$29:L$52),ABS(R$29:R$52))</f>
        <v>0.13098120064250723</v>
      </c>
      <c r="G109" cm="1">
        <f t="array" ref="G109">STDEV(ABS(G$29:G$52),ABS(M$29:M$52),ABS(S$29:S$52))</f>
        <v>78.71329504538231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0764-45B8-4101-A17F-7A01E2321859}">
  <dimension ref="A1:T109"/>
  <sheetViews>
    <sheetView topLeftCell="A32" workbookViewId="0">
      <selection activeCell="B56" sqref="B56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-1.45</v>
      </c>
      <c r="D5">
        <v>-46.3</v>
      </c>
      <c r="E5" t="str">
        <f>IF(ABS(D5)&gt;50,"?","-")</f>
        <v>-</v>
      </c>
      <c r="F5">
        <v>-2.5999999999999999E-2</v>
      </c>
      <c r="G5">
        <v>-16.8</v>
      </c>
      <c r="H5" t="str">
        <f>IF(ABS(G5)&gt;50,"?","-")</f>
        <v>-</v>
      </c>
      <c r="I5" s="1">
        <v>-1.48</v>
      </c>
      <c r="J5">
        <v>-49.2</v>
      </c>
      <c r="K5" t="str">
        <f>IF(ABS(J5)&gt;50,"?","-")</f>
        <v>-</v>
      </c>
      <c r="L5">
        <v>-8.1000000000000003E-2</v>
      </c>
      <c r="M5">
        <v>-43.1</v>
      </c>
      <c r="N5" t="str">
        <f>IF(ABS(M5)&gt;50,"?","-")</f>
        <v>-</v>
      </c>
      <c r="O5" s="1">
        <v>-1.29</v>
      </c>
      <c r="P5">
        <v>-44.3</v>
      </c>
      <c r="Q5" t="str">
        <f>IF(ABS(P5)&gt;50,"?","-")</f>
        <v>-</v>
      </c>
      <c r="R5">
        <v>-7.2999999999999995E-2</v>
      </c>
      <c r="S5">
        <v>-40.1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-1.19</v>
      </c>
      <c r="D6">
        <v>-46.1</v>
      </c>
      <c r="E6" t="str">
        <f t="shared" ref="E6:E52" si="0">IF(ABS(D6)&gt;50,"?","-")</f>
        <v>-</v>
      </c>
      <c r="F6">
        <v>-5.8000000000000003E-2</v>
      </c>
      <c r="G6">
        <v>-43.3</v>
      </c>
      <c r="H6" t="str">
        <f t="shared" ref="H6:H52" si="1">IF(ABS(G6)&gt;50,"?","-")</f>
        <v>-</v>
      </c>
      <c r="I6" s="1">
        <v>-1.33</v>
      </c>
      <c r="J6">
        <v>-50.8</v>
      </c>
      <c r="K6" t="str">
        <f t="shared" ref="K6:K52" si="2">IF(ABS(J6)&gt;50,"?","-")</f>
        <v>?</v>
      </c>
      <c r="L6">
        <v>-8.2000000000000003E-2</v>
      </c>
      <c r="M6">
        <v>-55.4</v>
      </c>
      <c r="N6" t="str">
        <f t="shared" ref="N6:N52" si="3">IF(ABS(M6)&gt;50,"?","-")</f>
        <v>?</v>
      </c>
      <c r="O6" s="1">
        <v>-1.26</v>
      </c>
      <c r="P6">
        <v>-47.7</v>
      </c>
      <c r="Q6" t="str">
        <f t="shared" ref="Q6:Q52" si="4">IF(ABS(P6)&gt;50,"?","-")</f>
        <v>-</v>
      </c>
      <c r="R6">
        <v>-5.3999999999999999E-2</v>
      </c>
      <c r="S6">
        <v>-40.299999999999997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-3.94</v>
      </c>
      <c r="D7">
        <v>-54.1</v>
      </c>
      <c r="E7" t="str">
        <f t="shared" si="0"/>
        <v>?</v>
      </c>
      <c r="F7">
        <v>-0.13100000000000001</v>
      </c>
      <c r="G7">
        <v>-37.1</v>
      </c>
      <c r="H7" t="str">
        <f t="shared" si="1"/>
        <v>-</v>
      </c>
      <c r="I7" s="1">
        <v>-3.41</v>
      </c>
      <c r="J7">
        <v>-56.6</v>
      </c>
      <c r="K7" t="str">
        <f t="shared" si="2"/>
        <v>?</v>
      </c>
      <c r="L7">
        <v>-0.17499999999999999</v>
      </c>
      <c r="M7">
        <v>-53.8</v>
      </c>
      <c r="N7" t="str">
        <f t="shared" si="3"/>
        <v>?</v>
      </c>
      <c r="O7" s="1">
        <v>-2.93</v>
      </c>
      <c r="P7">
        <v>-50.5</v>
      </c>
      <c r="Q7" t="str">
        <f t="shared" si="4"/>
        <v>?</v>
      </c>
      <c r="R7">
        <v>-0.17</v>
      </c>
      <c r="S7">
        <v>-54.8</v>
      </c>
      <c r="T7" s="2" t="str">
        <f t="shared" si="5"/>
        <v>?</v>
      </c>
    </row>
    <row r="8" spans="1:20">
      <c r="A8" s="11" t="s">
        <v>13</v>
      </c>
      <c r="B8" s="12" t="s">
        <v>10</v>
      </c>
      <c r="C8">
        <v>0.03</v>
      </c>
      <c r="D8">
        <v>2.4</v>
      </c>
      <c r="E8" t="str">
        <f t="shared" si="0"/>
        <v>-</v>
      </c>
      <c r="F8">
        <v>0.05</v>
      </c>
      <c r="G8">
        <v>47.6</v>
      </c>
      <c r="H8" t="str">
        <f t="shared" si="1"/>
        <v>-</v>
      </c>
      <c r="I8" s="1">
        <v>0.53</v>
      </c>
      <c r="J8">
        <v>50.5</v>
      </c>
      <c r="K8" t="str">
        <f t="shared" si="2"/>
        <v>?</v>
      </c>
      <c r="L8">
        <v>8.4000000000000005E-2</v>
      </c>
      <c r="M8">
        <v>120</v>
      </c>
      <c r="N8" t="str">
        <f t="shared" si="3"/>
        <v>?</v>
      </c>
      <c r="O8" s="1">
        <v>0.19</v>
      </c>
      <c r="P8">
        <v>14.8</v>
      </c>
      <c r="Q8" t="str">
        <f t="shared" si="4"/>
        <v>-</v>
      </c>
      <c r="R8">
        <v>2.9000000000000001E-2</v>
      </c>
      <c r="S8">
        <v>49.2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-0.85</v>
      </c>
      <c r="D9">
        <v>-38.6</v>
      </c>
      <c r="E9" t="str">
        <f t="shared" si="0"/>
        <v>-</v>
      </c>
      <c r="F9">
        <v>-3.3000000000000002E-2</v>
      </c>
      <c r="G9">
        <v>-22.6</v>
      </c>
      <c r="H9" t="str">
        <f t="shared" si="1"/>
        <v>-</v>
      </c>
      <c r="I9" s="1">
        <v>-0.8</v>
      </c>
      <c r="J9">
        <v>-39.200000000000003</v>
      </c>
      <c r="K9" t="str">
        <f t="shared" si="2"/>
        <v>-</v>
      </c>
      <c r="L9">
        <v>-5.1999999999999998E-2</v>
      </c>
      <c r="M9">
        <v>-32.299999999999997</v>
      </c>
      <c r="N9" t="str">
        <f t="shared" si="3"/>
        <v>-</v>
      </c>
      <c r="O9" s="1">
        <v>-0.93</v>
      </c>
      <c r="P9">
        <v>-45.4</v>
      </c>
      <c r="Q9" t="str">
        <f t="shared" si="4"/>
        <v>-</v>
      </c>
      <c r="R9">
        <v>-6.5000000000000002E-2</v>
      </c>
      <c r="S9">
        <v>-40.4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-0.94</v>
      </c>
      <c r="D10">
        <v>-47</v>
      </c>
      <c r="E10" t="str">
        <f t="shared" si="0"/>
        <v>-</v>
      </c>
      <c r="F10">
        <v>-1.2999999999999999E-2</v>
      </c>
      <c r="G10">
        <v>-12.9</v>
      </c>
      <c r="H10" t="str">
        <f t="shared" si="1"/>
        <v>-</v>
      </c>
      <c r="I10" s="1">
        <v>-0.96</v>
      </c>
      <c r="J10">
        <v>-49.5</v>
      </c>
      <c r="K10" t="str">
        <f t="shared" si="2"/>
        <v>-</v>
      </c>
      <c r="L10">
        <v>-3.9E-2</v>
      </c>
      <c r="M10">
        <v>-38.200000000000003</v>
      </c>
      <c r="N10" t="str">
        <f t="shared" si="3"/>
        <v>-</v>
      </c>
      <c r="O10" s="1">
        <v>-0.93</v>
      </c>
      <c r="P10">
        <v>-47.9</v>
      </c>
      <c r="Q10" t="str">
        <f t="shared" si="4"/>
        <v>-</v>
      </c>
      <c r="R10">
        <v>-3.1E-2</v>
      </c>
      <c r="S10">
        <v>-28.7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-1.72</v>
      </c>
      <c r="D11">
        <v>-32.9</v>
      </c>
      <c r="E11" t="str">
        <f t="shared" si="0"/>
        <v>-</v>
      </c>
      <c r="F11">
        <v>-5.6000000000000001E-2</v>
      </c>
      <c r="G11">
        <v>-19.899999999999999</v>
      </c>
      <c r="H11" t="str">
        <f t="shared" si="1"/>
        <v>-</v>
      </c>
      <c r="I11" s="1">
        <v>-1.34</v>
      </c>
      <c r="J11">
        <v>-29.9</v>
      </c>
      <c r="K11" t="str">
        <f t="shared" si="2"/>
        <v>-</v>
      </c>
      <c r="L11">
        <v>-7.4999999999999997E-2</v>
      </c>
      <c r="M11">
        <v>-31.9</v>
      </c>
      <c r="N11" t="str">
        <f t="shared" si="3"/>
        <v>-</v>
      </c>
      <c r="O11" s="1">
        <v>-1.26</v>
      </c>
      <c r="P11">
        <v>-29</v>
      </c>
      <c r="Q11" t="str">
        <f t="shared" si="4"/>
        <v>-</v>
      </c>
      <c r="R11">
        <v>-7.5999999999999998E-2</v>
      </c>
      <c r="S11">
        <v>-32.200000000000003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-0.08</v>
      </c>
      <c r="D12">
        <v>-7.9</v>
      </c>
      <c r="E12" t="str">
        <f t="shared" si="0"/>
        <v>-</v>
      </c>
      <c r="F12">
        <v>8.9999999999999993E-3</v>
      </c>
      <c r="G12">
        <v>11.2</v>
      </c>
      <c r="H12" t="str">
        <f t="shared" si="1"/>
        <v>-</v>
      </c>
      <c r="I12" s="1">
        <v>0.49</v>
      </c>
      <c r="J12">
        <v>84.5</v>
      </c>
      <c r="K12" t="str">
        <f t="shared" si="2"/>
        <v>?</v>
      </c>
      <c r="L12">
        <v>6.4000000000000001E-2</v>
      </c>
      <c r="M12">
        <v>98.5</v>
      </c>
      <c r="N12" t="str">
        <f t="shared" si="3"/>
        <v>?</v>
      </c>
      <c r="O12" s="1">
        <v>-7.0000000000000007E-2</v>
      </c>
      <c r="P12">
        <v>-7.3</v>
      </c>
      <c r="Q12" t="str">
        <f t="shared" si="4"/>
        <v>-</v>
      </c>
      <c r="R12">
        <v>1.4E-2</v>
      </c>
      <c r="S12">
        <v>18.899999999999999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-0.63</v>
      </c>
      <c r="D13">
        <v>-35.200000000000003</v>
      </c>
      <c r="E13" t="str">
        <f t="shared" si="0"/>
        <v>-</v>
      </c>
      <c r="F13">
        <v>-3.1E-2</v>
      </c>
      <c r="G13">
        <v>-21.1</v>
      </c>
      <c r="H13" t="str">
        <f t="shared" si="1"/>
        <v>-</v>
      </c>
      <c r="I13" s="1">
        <v>-0.68</v>
      </c>
      <c r="J13">
        <v>-38.200000000000003</v>
      </c>
      <c r="K13" t="str">
        <f t="shared" si="2"/>
        <v>-</v>
      </c>
      <c r="L13">
        <v>-4.2999999999999997E-2</v>
      </c>
      <c r="M13">
        <v>-29.9</v>
      </c>
      <c r="N13" t="str">
        <f t="shared" si="3"/>
        <v>-</v>
      </c>
      <c r="O13" s="1">
        <v>-0.65</v>
      </c>
      <c r="P13">
        <v>-36.9</v>
      </c>
      <c r="Q13" t="str">
        <f t="shared" si="4"/>
        <v>-</v>
      </c>
      <c r="R13">
        <v>-4.8000000000000001E-2</v>
      </c>
      <c r="S13">
        <v>-32.9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-0.5</v>
      </c>
      <c r="D14">
        <v>-32.299999999999997</v>
      </c>
      <c r="E14" t="str">
        <f t="shared" si="0"/>
        <v>-</v>
      </c>
      <c r="F14">
        <v>-1.7999999999999999E-2</v>
      </c>
      <c r="G14">
        <v>-18.8</v>
      </c>
      <c r="H14" t="str">
        <f t="shared" si="1"/>
        <v>-</v>
      </c>
      <c r="I14" s="1">
        <v>-0.67</v>
      </c>
      <c r="J14">
        <v>-42.1</v>
      </c>
      <c r="K14" t="str">
        <f t="shared" si="2"/>
        <v>-</v>
      </c>
      <c r="L14">
        <v>-1.4E-2</v>
      </c>
      <c r="M14">
        <v>-15.6</v>
      </c>
      <c r="N14" t="str">
        <f t="shared" si="3"/>
        <v>-</v>
      </c>
      <c r="O14" s="1">
        <v>-0.65</v>
      </c>
      <c r="P14">
        <v>-39.9</v>
      </c>
      <c r="Q14" t="str">
        <f t="shared" si="4"/>
        <v>-</v>
      </c>
      <c r="R14">
        <v>-1.7999999999999999E-2</v>
      </c>
      <c r="S14">
        <v>-18.399999999999999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-0.79</v>
      </c>
      <c r="D15">
        <v>-18.7</v>
      </c>
      <c r="E15" t="str">
        <f t="shared" si="0"/>
        <v>-</v>
      </c>
      <c r="F15">
        <v>-2.3E-2</v>
      </c>
      <c r="G15">
        <v>-9.4</v>
      </c>
      <c r="H15" t="str">
        <f t="shared" si="1"/>
        <v>-</v>
      </c>
      <c r="I15" s="1">
        <v>0.11</v>
      </c>
      <c r="J15">
        <v>3.8</v>
      </c>
      <c r="K15" t="str">
        <f t="shared" si="2"/>
        <v>-</v>
      </c>
      <c r="L15">
        <v>-1.7999999999999999E-2</v>
      </c>
      <c r="M15">
        <v>-10.1</v>
      </c>
      <c r="N15" t="str">
        <f t="shared" si="3"/>
        <v>-</v>
      </c>
      <c r="O15" s="1">
        <v>-0.22</v>
      </c>
      <c r="P15">
        <v>-7.3</v>
      </c>
      <c r="Q15" t="str">
        <f t="shared" si="4"/>
        <v>-</v>
      </c>
      <c r="R15">
        <v>-2.9000000000000001E-2</v>
      </c>
      <c r="S15">
        <v>-15.8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0.2</v>
      </c>
      <c r="D16">
        <v>22.2</v>
      </c>
      <c r="E16" t="str">
        <f t="shared" si="0"/>
        <v>-</v>
      </c>
      <c r="F16">
        <v>3.6999999999999998E-2</v>
      </c>
      <c r="G16">
        <v>49.3</v>
      </c>
      <c r="H16" t="str">
        <f t="shared" si="1"/>
        <v>-</v>
      </c>
      <c r="I16" s="1">
        <v>0.53</v>
      </c>
      <c r="J16">
        <v>98.1</v>
      </c>
      <c r="K16" t="str">
        <f t="shared" si="2"/>
        <v>?</v>
      </c>
      <c r="L16">
        <v>5.1999999999999998E-2</v>
      </c>
      <c r="M16">
        <v>104</v>
      </c>
      <c r="N16" t="str">
        <f t="shared" si="3"/>
        <v>?</v>
      </c>
      <c r="O16" s="1">
        <v>0.26</v>
      </c>
      <c r="P16">
        <v>33.299999999999997</v>
      </c>
      <c r="Q16" t="str">
        <f t="shared" si="4"/>
        <v>-</v>
      </c>
      <c r="R16">
        <v>8.5999999999999993E-2</v>
      </c>
      <c r="S16">
        <v>153.6</v>
      </c>
      <c r="T16" s="2" t="str">
        <f t="shared" si="5"/>
        <v>?</v>
      </c>
    </row>
    <row r="17" spans="1:20">
      <c r="A17" s="11" t="s">
        <v>9</v>
      </c>
      <c r="B17" s="12" t="s">
        <v>16</v>
      </c>
      <c r="C17">
        <v>-0.36</v>
      </c>
      <c r="D17">
        <v>-23.1</v>
      </c>
      <c r="E17" t="str">
        <f t="shared" si="0"/>
        <v>-</v>
      </c>
      <c r="F17">
        <v>-3.5000000000000003E-2</v>
      </c>
      <c r="G17">
        <v>-25.2</v>
      </c>
      <c r="H17" t="str">
        <f t="shared" si="1"/>
        <v>-</v>
      </c>
      <c r="I17" s="1">
        <v>-0.43</v>
      </c>
      <c r="J17">
        <v>-28.7</v>
      </c>
      <c r="K17" t="str">
        <f t="shared" si="2"/>
        <v>-</v>
      </c>
      <c r="L17">
        <v>-4.2999999999999997E-2</v>
      </c>
      <c r="M17">
        <v>-33.1</v>
      </c>
      <c r="N17" t="str">
        <f t="shared" si="3"/>
        <v>-</v>
      </c>
      <c r="O17" s="1">
        <v>-0.45</v>
      </c>
      <c r="P17">
        <v>-29.8</v>
      </c>
      <c r="Q17" t="str">
        <f t="shared" si="4"/>
        <v>-</v>
      </c>
      <c r="R17">
        <v>-3.5999999999999997E-2</v>
      </c>
      <c r="S17">
        <v>-28.3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-0.39</v>
      </c>
      <c r="D18">
        <v>-28.7</v>
      </c>
      <c r="E18" t="str">
        <f t="shared" si="0"/>
        <v>-</v>
      </c>
      <c r="F18">
        <v>2E-3</v>
      </c>
      <c r="G18">
        <v>2.2000000000000002</v>
      </c>
      <c r="H18" t="str">
        <f t="shared" si="1"/>
        <v>-</v>
      </c>
      <c r="I18" s="1">
        <v>-0.54</v>
      </c>
      <c r="J18">
        <v>-38</v>
      </c>
      <c r="K18" t="str">
        <f t="shared" si="2"/>
        <v>-</v>
      </c>
      <c r="L18">
        <v>-5.0000000000000001E-3</v>
      </c>
      <c r="M18">
        <v>-5.6</v>
      </c>
      <c r="N18" t="str">
        <f t="shared" si="3"/>
        <v>-</v>
      </c>
      <c r="O18" s="1">
        <v>-0.57999999999999996</v>
      </c>
      <c r="P18">
        <v>-38.700000000000003</v>
      </c>
      <c r="Q18" t="str">
        <f t="shared" si="4"/>
        <v>-</v>
      </c>
      <c r="R18">
        <v>-2.3E-2</v>
      </c>
      <c r="S18">
        <v>-22.5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0.6</v>
      </c>
      <c r="D19">
        <v>20.3</v>
      </c>
      <c r="E19" t="str">
        <f t="shared" si="0"/>
        <v>-</v>
      </c>
      <c r="F19">
        <v>0.04</v>
      </c>
      <c r="G19">
        <v>22.3</v>
      </c>
      <c r="H19" t="str">
        <f t="shared" si="1"/>
        <v>-</v>
      </c>
      <c r="I19" s="1">
        <v>-0.62</v>
      </c>
      <c r="J19">
        <v>-19.399999999999999</v>
      </c>
      <c r="K19" t="str">
        <f t="shared" si="2"/>
        <v>-</v>
      </c>
      <c r="L19">
        <v>-4.9000000000000002E-2</v>
      </c>
      <c r="M19">
        <v>-24.6</v>
      </c>
      <c r="N19" t="str">
        <f t="shared" si="3"/>
        <v>-</v>
      </c>
      <c r="O19" s="1">
        <v>-0.31</v>
      </c>
      <c r="P19">
        <v>-9.9</v>
      </c>
      <c r="Q19" t="str">
        <f t="shared" si="4"/>
        <v>-</v>
      </c>
      <c r="R19">
        <v>-4.7E-2</v>
      </c>
      <c r="S19">
        <v>-23.3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-0.12</v>
      </c>
      <c r="D20">
        <v>-17.100000000000001</v>
      </c>
      <c r="E20" t="str">
        <f t="shared" si="0"/>
        <v>-</v>
      </c>
      <c r="F20">
        <v>8.9999999999999993E-3</v>
      </c>
      <c r="G20">
        <v>14.5</v>
      </c>
      <c r="H20" t="str">
        <f t="shared" si="1"/>
        <v>-</v>
      </c>
      <c r="I20" s="1">
        <v>0.35</v>
      </c>
      <c r="J20">
        <v>67.3</v>
      </c>
      <c r="K20" t="str">
        <f t="shared" si="2"/>
        <v>?</v>
      </c>
      <c r="L20">
        <v>7.5999999999999998E-2</v>
      </c>
      <c r="M20">
        <v>200</v>
      </c>
      <c r="N20" t="str">
        <f t="shared" si="3"/>
        <v>?</v>
      </c>
      <c r="O20" s="1">
        <v>-0.42</v>
      </c>
      <c r="P20">
        <v>-43.3</v>
      </c>
      <c r="Q20" t="str">
        <f t="shared" si="4"/>
        <v>-</v>
      </c>
      <c r="R20">
        <v>7.0000000000000001E-3</v>
      </c>
      <c r="S20">
        <v>14.3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-0.16</v>
      </c>
      <c r="D21">
        <v>-11.3</v>
      </c>
      <c r="E21" t="str">
        <f t="shared" si="0"/>
        <v>-</v>
      </c>
      <c r="F21">
        <v>-2.5000000000000001E-2</v>
      </c>
      <c r="G21">
        <v>-19.2</v>
      </c>
      <c r="H21" t="str">
        <f t="shared" si="1"/>
        <v>-</v>
      </c>
      <c r="I21" s="1">
        <v>-0.2</v>
      </c>
      <c r="J21">
        <v>-15.4</v>
      </c>
      <c r="K21" t="str">
        <f t="shared" si="2"/>
        <v>-</v>
      </c>
      <c r="L21">
        <v>-0.02</v>
      </c>
      <c r="M21">
        <v>-18</v>
      </c>
      <c r="N21" t="str">
        <f t="shared" si="3"/>
        <v>-</v>
      </c>
      <c r="O21" s="1">
        <v>-0.23</v>
      </c>
      <c r="P21">
        <v>-17</v>
      </c>
      <c r="Q21" t="str">
        <f t="shared" si="4"/>
        <v>-</v>
      </c>
      <c r="R21">
        <v>-3.5000000000000003E-2</v>
      </c>
      <c r="S21">
        <v>-27.8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-0.26</v>
      </c>
      <c r="D22">
        <v>-20.8</v>
      </c>
      <c r="E22" t="str">
        <f t="shared" si="0"/>
        <v>-</v>
      </c>
      <c r="F22">
        <v>-2.1000000000000001E-2</v>
      </c>
      <c r="G22">
        <v>-21</v>
      </c>
      <c r="H22" t="str">
        <f t="shared" si="1"/>
        <v>-</v>
      </c>
      <c r="I22" s="1">
        <v>-0.37</v>
      </c>
      <c r="J22">
        <v>-28.9</v>
      </c>
      <c r="K22" t="str">
        <f t="shared" si="2"/>
        <v>-</v>
      </c>
      <c r="L22">
        <v>-1.2999999999999999E-2</v>
      </c>
      <c r="M22">
        <v>-14</v>
      </c>
      <c r="N22" t="str">
        <f t="shared" si="3"/>
        <v>-</v>
      </c>
      <c r="O22" s="1">
        <v>-0.32</v>
      </c>
      <c r="P22">
        <v>-26</v>
      </c>
      <c r="Q22" t="str">
        <f t="shared" si="4"/>
        <v>-</v>
      </c>
      <c r="R22">
        <v>-8.0000000000000002E-3</v>
      </c>
      <c r="S22">
        <v>-9.1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-0.43</v>
      </c>
      <c r="D23">
        <v>-10.7</v>
      </c>
      <c r="E23" t="str">
        <f t="shared" si="0"/>
        <v>-</v>
      </c>
      <c r="F23">
        <v>-6.0000000000000001E-3</v>
      </c>
      <c r="G23">
        <v>-2.7</v>
      </c>
      <c r="H23" t="str">
        <f t="shared" si="1"/>
        <v>-</v>
      </c>
      <c r="I23" s="1">
        <v>-0.41</v>
      </c>
      <c r="J23">
        <v>-11.4</v>
      </c>
      <c r="K23" t="str">
        <f t="shared" si="2"/>
        <v>-</v>
      </c>
      <c r="L23">
        <v>-3.2000000000000001E-2</v>
      </c>
      <c r="M23">
        <v>-16.2</v>
      </c>
      <c r="N23" t="str">
        <f t="shared" si="3"/>
        <v>-</v>
      </c>
      <c r="O23" s="1">
        <v>-0.79</v>
      </c>
      <c r="P23">
        <v>-20.5</v>
      </c>
      <c r="Q23" t="str">
        <f t="shared" si="4"/>
        <v>-</v>
      </c>
      <c r="R23">
        <v>-3.3000000000000002E-2</v>
      </c>
      <c r="S23">
        <v>-16.600000000000001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-0.1</v>
      </c>
      <c r="D24">
        <v>-10.8</v>
      </c>
      <c r="E24" t="str">
        <f t="shared" si="0"/>
        <v>-</v>
      </c>
      <c r="F24">
        <v>1.6E-2</v>
      </c>
      <c r="G24">
        <v>22.2</v>
      </c>
      <c r="H24" t="str">
        <f t="shared" si="1"/>
        <v>-</v>
      </c>
      <c r="I24" s="1">
        <v>0.27</v>
      </c>
      <c r="J24">
        <v>50.9</v>
      </c>
      <c r="K24" t="str">
        <f t="shared" si="2"/>
        <v>?</v>
      </c>
      <c r="L24">
        <v>4.4999999999999998E-2</v>
      </c>
      <c r="M24">
        <v>125</v>
      </c>
      <c r="N24" t="str">
        <f t="shared" si="3"/>
        <v>?</v>
      </c>
      <c r="O24" s="1">
        <v>0.17</v>
      </c>
      <c r="P24">
        <v>25</v>
      </c>
      <c r="Q24" t="str">
        <f t="shared" si="4"/>
        <v>-</v>
      </c>
      <c r="R24">
        <v>5.2999999999999999E-2</v>
      </c>
      <c r="S24">
        <v>160.6</v>
      </c>
      <c r="T24" s="2" t="str">
        <f t="shared" si="5"/>
        <v>?</v>
      </c>
    </row>
    <row r="25" spans="1:20">
      <c r="A25" s="11" t="s">
        <v>9</v>
      </c>
      <c r="B25" s="12" t="s">
        <v>18</v>
      </c>
      <c r="C25">
        <v>-0.28999999999999998</v>
      </c>
      <c r="D25">
        <v>-17.5</v>
      </c>
      <c r="E25" t="str">
        <f t="shared" si="0"/>
        <v>-</v>
      </c>
      <c r="F25">
        <v>-1.7000000000000001E-2</v>
      </c>
      <c r="G25">
        <v>-11.9</v>
      </c>
      <c r="H25" t="str">
        <f t="shared" si="1"/>
        <v>-</v>
      </c>
      <c r="I25" s="1">
        <v>-0.32</v>
      </c>
      <c r="J25">
        <v>-20.6</v>
      </c>
      <c r="K25" t="str">
        <f t="shared" si="2"/>
        <v>-</v>
      </c>
      <c r="L25">
        <v>-1.7999999999999999E-2</v>
      </c>
      <c r="M25">
        <v>-14.3</v>
      </c>
      <c r="N25" t="str">
        <f t="shared" si="3"/>
        <v>-</v>
      </c>
      <c r="O25" s="1">
        <v>-0.38</v>
      </c>
      <c r="P25">
        <v>-25.9</v>
      </c>
      <c r="Q25" t="str">
        <f t="shared" si="4"/>
        <v>-</v>
      </c>
      <c r="R25">
        <v>-2.9000000000000001E-2</v>
      </c>
      <c r="S25">
        <v>-24.2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0.1</v>
      </c>
      <c r="D26">
        <v>8.1</v>
      </c>
      <c r="E26" t="str">
        <f t="shared" si="0"/>
        <v>-</v>
      </c>
      <c r="F26">
        <v>3.9E-2</v>
      </c>
      <c r="G26">
        <v>45.9</v>
      </c>
      <c r="H26" t="str">
        <f t="shared" si="1"/>
        <v>-</v>
      </c>
      <c r="I26" s="1">
        <v>-0.14000000000000001</v>
      </c>
      <c r="J26">
        <v>-9.9</v>
      </c>
      <c r="K26" t="str">
        <f t="shared" si="2"/>
        <v>-</v>
      </c>
      <c r="L26">
        <v>-6.0000000000000001E-3</v>
      </c>
      <c r="M26">
        <v>-5</v>
      </c>
      <c r="N26" t="str">
        <f t="shared" si="3"/>
        <v>-</v>
      </c>
      <c r="O26" s="1">
        <v>-0.09</v>
      </c>
      <c r="P26">
        <v>-6.2</v>
      </c>
      <c r="Q26" t="str">
        <f t="shared" si="4"/>
        <v>-</v>
      </c>
      <c r="R26">
        <v>2E-3</v>
      </c>
      <c r="S26">
        <v>1.7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-0.35</v>
      </c>
      <c r="D27">
        <v>-8</v>
      </c>
      <c r="E27" t="str">
        <f t="shared" si="0"/>
        <v>-</v>
      </c>
      <c r="F27">
        <v>-3.4000000000000002E-2</v>
      </c>
      <c r="G27">
        <v>-13.4</v>
      </c>
      <c r="H27" t="str">
        <f t="shared" si="1"/>
        <v>-</v>
      </c>
      <c r="I27" s="1">
        <v>-1.88</v>
      </c>
      <c r="J27">
        <v>-40.9</v>
      </c>
      <c r="K27" t="str">
        <f t="shared" si="2"/>
        <v>-</v>
      </c>
      <c r="L27">
        <v>-8.1000000000000003E-2</v>
      </c>
      <c r="M27">
        <v>-35.799999999999997</v>
      </c>
      <c r="N27" t="str">
        <f t="shared" si="3"/>
        <v>-</v>
      </c>
      <c r="O27" s="1">
        <v>-0.88</v>
      </c>
      <c r="P27">
        <v>-22.5</v>
      </c>
      <c r="Q27" t="str">
        <f t="shared" si="4"/>
        <v>-</v>
      </c>
      <c r="R27">
        <v>-4.2000000000000003E-2</v>
      </c>
      <c r="S27">
        <v>-21.2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0.04</v>
      </c>
      <c r="D28">
        <v>4.9000000000000004</v>
      </c>
      <c r="E28" t="str">
        <f t="shared" si="0"/>
        <v>-</v>
      </c>
      <c r="F28">
        <v>5.1999999999999998E-2</v>
      </c>
      <c r="G28">
        <v>157.6</v>
      </c>
      <c r="H28" t="str">
        <f t="shared" si="1"/>
        <v>?</v>
      </c>
      <c r="I28" s="1">
        <v>0.25</v>
      </c>
      <c r="J28">
        <v>46.3</v>
      </c>
      <c r="K28" t="str">
        <f t="shared" si="2"/>
        <v>-</v>
      </c>
      <c r="L28">
        <v>2.1999999999999999E-2</v>
      </c>
      <c r="M28">
        <v>38.6</v>
      </c>
      <c r="N28" t="str">
        <f t="shared" si="3"/>
        <v>-</v>
      </c>
      <c r="O28" s="1">
        <v>-0.04</v>
      </c>
      <c r="P28">
        <v>-4.3</v>
      </c>
      <c r="Q28" t="str">
        <f t="shared" si="4"/>
        <v>-</v>
      </c>
      <c r="R28">
        <v>8.9999999999999993E-3</v>
      </c>
      <c r="S28">
        <v>15</v>
      </c>
      <c r="T28" s="2" t="str">
        <f t="shared" si="5"/>
        <v>-</v>
      </c>
    </row>
    <row r="29" spans="1:20">
      <c r="A29" s="11" t="s">
        <v>9</v>
      </c>
      <c r="B29" s="13">
        <v>0.4</v>
      </c>
      <c r="C29">
        <v>-0.27</v>
      </c>
      <c r="D29">
        <v>-19.899999999999999</v>
      </c>
      <c r="E29" t="str">
        <f t="shared" si="0"/>
        <v>-</v>
      </c>
      <c r="F29">
        <v>-1.4E-2</v>
      </c>
      <c r="G29">
        <v>-12.2</v>
      </c>
      <c r="H29" t="str">
        <f t="shared" si="1"/>
        <v>-</v>
      </c>
      <c r="I29" s="1">
        <v>-0.16</v>
      </c>
      <c r="J29">
        <v>-13.7</v>
      </c>
      <c r="K29" t="str">
        <f t="shared" si="2"/>
        <v>-</v>
      </c>
      <c r="L29">
        <v>-2.9000000000000001E-2</v>
      </c>
      <c r="M29">
        <v>-25.4</v>
      </c>
      <c r="N29" t="str">
        <f t="shared" si="3"/>
        <v>-</v>
      </c>
      <c r="O29" s="1">
        <v>-0.11</v>
      </c>
      <c r="P29">
        <v>-9.8000000000000007</v>
      </c>
      <c r="Q29" t="str">
        <f t="shared" si="4"/>
        <v>-</v>
      </c>
      <c r="R29">
        <v>-8.0000000000000002E-3</v>
      </c>
      <c r="S29">
        <v>-8.1999999999999993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-0.28000000000000003</v>
      </c>
      <c r="D30">
        <v>-20.6</v>
      </c>
      <c r="E30" t="str">
        <f t="shared" si="0"/>
        <v>-</v>
      </c>
      <c r="F30">
        <v>2E-3</v>
      </c>
      <c r="G30">
        <v>1.9</v>
      </c>
      <c r="H30" t="str">
        <f t="shared" si="1"/>
        <v>-</v>
      </c>
      <c r="I30" s="1">
        <v>-0.12</v>
      </c>
      <c r="J30">
        <v>-10.3</v>
      </c>
      <c r="K30" t="str">
        <f t="shared" si="2"/>
        <v>-</v>
      </c>
      <c r="L30">
        <v>0</v>
      </c>
      <c r="M30">
        <v>0</v>
      </c>
      <c r="N30" t="str">
        <f t="shared" si="3"/>
        <v>-</v>
      </c>
      <c r="O30" s="1">
        <v>-0.2</v>
      </c>
      <c r="P30">
        <v>-18.3</v>
      </c>
      <c r="Q30" t="str">
        <f t="shared" si="4"/>
        <v>-</v>
      </c>
      <c r="R30">
        <v>-3.0000000000000001E-3</v>
      </c>
      <c r="S30">
        <v>-3.3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0.25</v>
      </c>
      <c r="D31">
        <v>9.8000000000000007</v>
      </c>
      <c r="E31" t="str">
        <f t="shared" si="0"/>
        <v>-</v>
      </c>
      <c r="F31">
        <v>0.01</v>
      </c>
      <c r="G31">
        <v>6</v>
      </c>
      <c r="H31" t="str">
        <f t="shared" si="1"/>
        <v>-</v>
      </c>
      <c r="I31" s="1">
        <v>-0.28999999999999998</v>
      </c>
      <c r="J31">
        <v>-11.2</v>
      </c>
      <c r="K31" t="str">
        <f t="shared" si="2"/>
        <v>-</v>
      </c>
      <c r="L31">
        <v>-1.9E-2</v>
      </c>
      <c r="M31">
        <v>-12.3</v>
      </c>
      <c r="N31" t="str">
        <f t="shared" si="3"/>
        <v>-</v>
      </c>
      <c r="O31" s="1">
        <v>-0.4</v>
      </c>
      <c r="P31">
        <v>-15.7</v>
      </c>
      <c r="Q31" t="str">
        <f t="shared" si="4"/>
        <v>-</v>
      </c>
      <c r="R31">
        <v>-2.4E-2</v>
      </c>
      <c r="S31">
        <v>-15.2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-0.22</v>
      </c>
      <c r="D32">
        <v>-25</v>
      </c>
      <c r="E32" t="str">
        <f t="shared" si="0"/>
        <v>-</v>
      </c>
      <c r="F32">
        <v>7.0000000000000001E-3</v>
      </c>
      <c r="G32">
        <v>12.1</v>
      </c>
      <c r="H32" t="str">
        <f t="shared" si="1"/>
        <v>-</v>
      </c>
      <c r="I32" s="1">
        <v>0.22</v>
      </c>
      <c r="J32">
        <v>40.700000000000003</v>
      </c>
      <c r="K32" t="str">
        <f t="shared" si="2"/>
        <v>-</v>
      </c>
      <c r="L32">
        <v>0.02</v>
      </c>
      <c r="M32">
        <v>37.700000000000003</v>
      </c>
      <c r="N32" t="str">
        <f t="shared" si="3"/>
        <v>-</v>
      </c>
      <c r="O32" s="1">
        <v>-0.05</v>
      </c>
      <c r="P32">
        <v>-7</v>
      </c>
      <c r="Q32" t="str">
        <f t="shared" si="4"/>
        <v>-</v>
      </c>
      <c r="R32">
        <v>4.2000000000000003E-2</v>
      </c>
      <c r="S32">
        <v>123.5</v>
      </c>
      <c r="T32" s="2" t="str">
        <f t="shared" si="5"/>
        <v>?</v>
      </c>
    </row>
    <row r="33" spans="1:20">
      <c r="A33" s="11" t="s">
        <v>9</v>
      </c>
      <c r="B33" s="13">
        <v>0.5</v>
      </c>
      <c r="C33">
        <v>-0.3</v>
      </c>
      <c r="D33">
        <v>-21.3</v>
      </c>
      <c r="E33" t="str">
        <f t="shared" si="0"/>
        <v>-</v>
      </c>
      <c r="F33">
        <v>-2.1999999999999999E-2</v>
      </c>
      <c r="G33">
        <v>-16.899999999999999</v>
      </c>
      <c r="H33" t="str">
        <f t="shared" si="1"/>
        <v>-</v>
      </c>
      <c r="I33" s="1">
        <v>-0.4</v>
      </c>
      <c r="J33">
        <v>-29</v>
      </c>
      <c r="K33" t="str">
        <f t="shared" si="2"/>
        <v>-</v>
      </c>
      <c r="L33">
        <v>-2.5000000000000001E-2</v>
      </c>
      <c r="M33">
        <v>-22.7</v>
      </c>
      <c r="N33" t="str">
        <f t="shared" si="3"/>
        <v>-</v>
      </c>
      <c r="O33" s="1">
        <v>-0.4</v>
      </c>
      <c r="P33">
        <v>-29.6</v>
      </c>
      <c r="Q33" t="str">
        <f t="shared" si="4"/>
        <v>-</v>
      </c>
      <c r="R33">
        <v>-4.3999999999999997E-2</v>
      </c>
      <c r="S33">
        <v>-36.1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-0.54</v>
      </c>
      <c r="D34">
        <v>-38</v>
      </c>
      <c r="E34" t="str">
        <f t="shared" si="0"/>
        <v>-</v>
      </c>
      <c r="F34">
        <v>-3.6999999999999998E-2</v>
      </c>
      <c r="G34">
        <v>-30.1</v>
      </c>
      <c r="H34" t="str">
        <f t="shared" si="1"/>
        <v>-</v>
      </c>
      <c r="I34" s="1">
        <v>-0.5</v>
      </c>
      <c r="J34">
        <v>-37.299999999999997</v>
      </c>
      <c r="K34" t="str">
        <f t="shared" si="2"/>
        <v>-</v>
      </c>
      <c r="L34">
        <v>-2.5000000000000001E-2</v>
      </c>
      <c r="M34">
        <v>-27.2</v>
      </c>
      <c r="N34" t="str">
        <f t="shared" si="3"/>
        <v>-</v>
      </c>
      <c r="O34" s="1">
        <v>-0.5</v>
      </c>
      <c r="P34">
        <v>-38.200000000000003</v>
      </c>
      <c r="Q34" t="str">
        <f t="shared" si="4"/>
        <v>-</v>
      </c>
      <c r="R34">
        <v>-2.4E-2</v>
      </c>
      <c r="S34">
        <v>-27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-0.49</v>
      </c>
      <c r="D35">
        <v>-13.3</v>
      </c>
      <c r="E35" t="str">
        <f t="shared" si="0"/>
        <v>-</v>
      </c>
      <c r="F35">
        <v>-1.6E-2</v>
      </c>
      <c r="G35">
        <v>-8</v>
      </c>
      <c r="H35" t="str">
        <f t="shared" si="1"/>
        <v>-</v>
      </c>
      <c r="I35" s="1">
        <v>-0.42</v>
      </c>
      <c r="J35">
        <v>-14</v>
      </c>
      <c r="K35" t="str">
        <f t="shared" si="2"/>
        <v>-</v>
      </c>
      <c r="L35">
        <v>-5.0000000000000001E-3</v>
      </c>
      <c r="M35">
        <v>-3.5</v>
      </c>
      <c r="N35" t="str">
        <f t="shared" si="3"/>
        <v>-</v>
      </c>
      <c r="O35" s="1">
        <v>-0.67</v>
      </c>
      <c r="P35">
        <v>-22.3</v>
      </c>
      <c r="Q35" t="str">
        <f t="shared" si="4"/>
        <v>-</v>
      </c>
      <c r="R35">
        <v>-2.1000000000000001E-2</v>
      </c>
      <c r="S35">
        <v>-14.6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-0.18</v>
      </c>
      <c r="D36">
        <v>-19.600000000000001</v>
      </c>
      <c r="E36" t="str">
        <f t="shared" si="0"/>
        <v>-</v>
      </c>
      <c r="F36">
        <v>4.8000000000000001E-2</v>
      </c>
      <c r="G36">
        <v>126.3</v>
      </c>
      <c r="H36" t="str">
        <f t="shared" si="1"/>
        <v>?</v>
      </c>
      <c r="I36" s="1">
        <v>0.14000000000000001</v>
      </c>
      <c r="J36">
        <v>24.6</v>
      </c>
      <c r="K36" t="str">
        <f t="shared" si="2"/>
        <v>-</v>
      </c>
      <c r="L36">
        <v>0.04</v>
      </c>
      <c r="M36">
        <v>78.400000000000006</v>
      </c>
      <c r="N36" t="str">
        <f t="shared" si="3"/>
        <v>?</v>
      </c>
      <c r="O36" s="1">
        <v>0</v>
      </c>
      <c r="P36">
        <v>0</v>
      </c>
      <c r="Q36" t="str">
        <f t="shared" si="4"/>
        <v>-</v>
      </c>
      <c r="R36">
        <v>1.7999999999999999E-2</v>
      </c>
      <c r="S36">
        <v>34.6</v>
      </c>
      <c r="T36" s="2" t="str">
        <f t="shared" si="5"/>
        <v>-</v>
      </c>
    </row>
    <row r="37" spans="1:20">
      <c r="A37" s="11" t="s">
        <v>9</v>
      </c>
      <c r="B37" s="13">
        <v>0.6</v>
      </c>
      <c r="C37">
        <v>-0.49</v>
      </c>
      <c r="D37">
        <v>-30.4</v>
      </c>
      <c r="E37" t="str">
        <f t="shared" si="0"/>
        <v>-</v>
      </c>
      <c r="F37">
        <v>-2.9000000000000001E-2</v>
      </c>
      <c r="G37">
        <v>-20.6</v>
      </c>
      <c r="H37" t="str">
        <f t="shared" si="1"/>
        <v>-</v>
      </c>
      <c r="I37" s="1">
        <v>-0.44</v>
      </c>
      <c r="J37">
        <v>-27.5</v>
      </c>
      <c r="K37" t="str">
        <f t="shared" si="2"/>
        <v>-</v>
      </c>
      <c r="L37">
        <v>-2.4E-2</v>
      </c>
      <c r="M37">
        <v>-18.899999999999999</v>
      </c>
      <c r="N37" t="str">
        <f t="shared" si="3"/>
        <v>-</v>
      </c>
      <c r="O37" s="1">
        <v>-0.48</v>
      </c>
      <c r="P37">
        <v>-30.4</v>
      </c>
      <c r="Q37" t="str">
        <f t="shared" si="4"/>
        <v>-</v>
      </c>
      <c r="R37">
        <v>-0.04</v>
      </c>
      <c r="S37">
        <v>-31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-0.55000000000000004</v>
      </c>
      <c r="D38">
        <v>-37.4</v>
      </c>
      <c r="E38" t="str">
        <f t="shared" si="0"/>
        <v>-</v>
      </c>
      <c r="F38">
        <v>0</v>
      </c>
      <c r="G38">
        <v>0</v>
      </c>
      <c r="H38" t="str">
        <f t="shared" si="1"/>
        <v>-</v>
      </c>
      <c r="I38" s="1">
        <v>-0.64</v>
      </c>
      <c r="J38">
        <v>-42.4</v>
      </c>
      <c r="K38" t="str">
        <f t="shared" si="2"/>
        <v>-</v>
      </c>
      <c r="L38">
        <v>-7.0000000000000001E-3</v>
      </c>
      <c r="M38">
        <v>-7.5</v>
      </c>
      <c r="N38" t="str">
        <f t="shared" si="3"/>
        <v>-</v>
      </c>
      <c r="O38" s="1">
        <v>-0.5</v>
      </c>
      <c r="P38">
        <v>-36</v>
      </c>
      <c r="Q38" t="str">
        <f t="shared" si="4"/>
        <v>-</v>
      </c>
      <c r="R38">
        <v>-0.01</v>
      </c>
      <c r="S38">
        <v>-11.1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-0.41</v>
      </c>
      <c r="D39">
        <v>-11.2</v>
      </c>
      <c r="E39" t="str">
        <f t="shared" si="0"/>
        <v>-</v>
      </c>
      <c r="F39">
        <v>-5.0000000000000001E-3</v>
      </c>
      <c r="G39">
        <v>-2.2999999999999998</v>
      </c>
      <c r="H39" t="str">
        <f t="shared" si="1"/>
        <v>-</v>
      </c>
      <c r="I39" s="1">
        <v>-0.68</v>
      </c>
      <c r="J39">
        <v>-21.3</v>
      </c>
      <c r="K39" t="str">
        <f t="shared" si="2"/>
        <v>-</v>
      </c>
      <c r="L39">
        <v>-4.7E-2</v>
      </c>
      <c r="M39">
        <v>-27.6</v>
      </c>
      <c r="N39" t="str">
        <f t="shared" si="3"/>
        <v>-</v>
      </c>
      <c r="O39" s="1">
        <v>-0.32</v>
      </c>
      <c r="P39">
        <v>-10.3</v>
      </c>
      <c r="Q39" t="str">
        <f t="shared" si="4"/>
        <v>-</v>
      </c>
      <c r="R39">
        <v>-3.2000000000000001E-2</v>
      </c>
      <c r="S39">
        <v>-18.3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-0.41</v>
      </c>
      <c r="D40">
        <v>-39.4</v>
      </c>
      <c r="E40" t="str">
        <f t="shared" si="0"/>
        <v>-</v>
      </c>
      <c r="F40">
        <v>7.0000000000000001E-3</v>
      </c>
      <c r="G40">
        <v>9.1</v>
      </c>
      <c r="H40" t="str">
        <f t="shared" si="1"/>
        <v>-</v>
      </c>
      <c r="I40" s="1">
        <v>0.14000000000000001</v>
      </c>
      <c r="J40">
        <v>24.1</v>
      </c>
      <c r="K40" t="str">
        <f t="shared" si="2"/>
        <v>-</v>
      </c>
      <c r="L40">
        <v>3.1E-2</v>
      </c>
      <c r="M40">
        <v>79.5</v>
      </c>
      <c r="N40" t="str">
        <f t="shared" si="3"/>
        <v>?</v>
      </c>
      <c r="O40" s="1">
        <v>0.22</v>
      </c>
      <c r="P40">
        <v>34.9</v>
      </c>
      <c r="Q40" t="str">
        <f t="shared" si="4"/>
        <v>-</v>
      </c>
      <c r="R40">
        <v>3.5000000000000003E-2</v>
      </c>
      <c r="S40">
        <v>67.3</v>
      </c>
      <c r="T40" s="2" t="str">
        <f t="shared" si="5"/>
        <v>?</v>
      </c>
    </row>
    <row r="41" spans="1:20">
      <c r="A41" s="11" t="s">
        <v>9</v>
      </c>
      <c r="B41" s="13">
        <v>0.7</v>
      </c>
      <c r="C41">
        <v>-0.65</v>
      </c>
      <c r="D41">
        <v>-33.299999999999997</v>
      </c>
      <c r="E41" t="str">
        <f t="shared" si="0"/>
        <v>-</v>
      </c>
      <c r="F41">
        <v>-0.02</v>
      </c>
      <c r="G41">
        <v>-14.6</v>
      </c>
      <c r="H41" t="str">
        <f t="shared" si="1"/>
        <v>-</v>
      </c>
      <c r="I41" s="1">
        <v>-0.63</v>
      </c>
      <c r="J41">
        <v>-33.9</v>
      </c>
      <c r="K41" t="str">
        <f t="shared" si="2"/>
        <v>-</v>
      </c>
      <c r="L41">
        <v>-3.5000000000000003E-2</v>
      </c>
      <c r="M41">
        <v>-24.8</v>
      </c>
      <c r="N41" t="str">
        <f t="shared" si="3"/>
        <v>-</v>
      </c>
      <c r="O41" s="1">
        <v>-0.68</v>
      </c>
      <c r="P41">
        <v>-37.200000000000003</v>
      </c>
      <c r="Q41" t="str">
        <f t="shared" si="4"/>
        <v>-</v>
      </c>
      <c r="R41">
        <v>-4.7E-2</v>
      </c>
      <c r="S41">
        <v>-33.299999999999997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-0.89</v>
      </c>
      <c r="D42">
        <v>-46.8</v>
      </c>
      <c r="E42" t="str">
        <f t="shared" si="0"/>
        <v>-</v>
      </c>
      <c r="F42">
        <v>-2.8000000000000001E-2</v>
      </c>
      <c r="G42">
        <v>-25</v>
      </c>
      <c r="H42" t="str">
        <f t="shared" si="1"/>
        <v>-</v>
      </c>
      <c r="I42" s="1">
        <v>-0.61</v>
      </c>
      <c r="J42">
        <v>-37</v>
      </c>
      <c r="K42" t="str">
        <f t="shared" si="2"/>
        <v>-</v>
      </c>
      <c r="L42">
        <v>-1.4E-2</v>
      </c>
      <c r="M42">
        <v>-15.4</v>
      </c>
      <c r="N42" t="str">
        <f t="shared" si="3"/>
        <v>-</v>
      </c>
      <c r="O42" s="1">
        <v>-0.69</v>
      </c>
      <c r="P42">
        <v>-41.6</v>
      </c>
      <c r="Q42" t="str">
        <f t="shared" si="4"/>
        <v>-</v>
      </c>
      <c r="R42">
        <v>-3.5000000000000003E-2</v>
      </c>
      <c r="S42">
        <v>-35.700000000000003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-1.57</v>
      </c>
      <c r="D43">
        <v>-31.9</v>
      </c>
      <c r="E43" t="str">
        <f t="shared" si="0"/>
        <v>-</v>
      </c>
      <c r="F43">
        <v>-4.1000000000000002E-2</v>
      </c>
      <c r="G43">
        <v>-16.5</v>
      </c>
      <c r="H43" t="str">
        <f t="shared" si="1"/>
        <v>-</v>
      </c>
      <c r="I43" s="1">
        <v>-1.7</v>
      </c>
      <c r="J43">
        <v>-38.4</v>
      </c>
      <c r="K43" t="str">
        <f t="shared" si="2"/>
        <v>-</v>
      </c>
      <c r="L43">
        <v>-0.06</v>
      </c>
      <c r="M43">
        <v>-27.6</v>
      </c>
      <c r="N43" t="str">
        <f t="shared" si="3"/>
        <v>-</v>
      </c>
      <c r="O43" s="1">
        <v>-1.36</v>
      </c>
      <c r="P43">
        <v>-31.1</v>
      </c>
      <c r="Q43" t="str">
        <f t="shared" si="4"/>
        <v>-</v>
      </c>
      <c r="R43">
        <v>-6.2E-2</v>
      </c>
      <c r="S43">
        <v>-28.6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-7.0000000000000007E-2</v>
      </c>
      <c r="D44">
        <v>-6.7</v>
      </c>
      <c r="E44" t="str">
        <f t="shared" si="0"/>
        <v>-</v>
      </c>
      <c r="F44">
        <v>2.4E-2</v>
      </c>
      <c r="G44">
        <v>27.9</v>
      </c>
      <c r="H44" t="str">
        <f t="shared" si="1"/>
        <v>-</v>
      </c>
      <c r="I44" s="1">
        <v>0.28999999999999998</v>
      </c>
      <c r="J44">
        <v>48.3</v>
      </c>
      <c r="K44" t="str">
        <f t="shared" si="2"/>
        <v>-</v>
      </c>
      <c r="L44">
        <v>6.3E-2</v>
      </c>
      <c r="M44">
        <v>121.2</v>
      </c>
      <c r="N44" t="str">
        <f t="shared" si="3"/>
        <v>?</v>
      </c>
      <c r="O44" s="1">
        <v>-0.14000000000000001</v>
      </c>
      <c r="P44">
        <v>-14.7</v>
      </c>
      <c r="Q44" t="str">
        <f t="shared" si="4"/>
        <v>-</v>
      </c>
      <c r="R44">
        <v>-2E-3</v>
      </c>
      <c r="S44">
        <v>-2.4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-1.07</v>
      </c>
      <c r="D45">
        <v>-42.8</v>
      </c>
      <c r="E45" t="str">
        <f t="shared" si="0"/>
        <v>-</v>
      </c>
      <c r="F45">
        <v>-2.8000000000000001E-2</v>
      </c>
      <c r="G45">
        <v>-19.3</v>
      </c>
      <c r="H45" t="str">
        <f t="shared" si="1"/>
        <v>-</v>
      </c>
      <c r="I45" s="1">
        <v>-1.1100000000000001</v>
      </c>
      <c r="J45">
        <v>-45.3</v>
      </c>
      <c r="K45" t="str">
        <f t="shared" si="2"/>
        <v>-</v>
      </c>
      <c r="L45">
        <v>-4.8000000000000001E-2</v>
      </c>
      <c r="M45">
        <v>-29.4</v>
      </c>
      <c r="N45" t="str">
        <f t="shared" si="3"/>
        <v>-</v>
      </c>
      <c r="O45" s="1">
        <v>-1.1599999999999999</v>
      </c>
      <c r="P45">
        <v>-45.8</v>
      </c>
      <c r="Q45" t="str">
        <f t="shared" si="4"/>
        <v>-</v>
      </c>
      <c r="R45">
        <v>-6.2E-2</v>
      </c>
      <c r="S45">
        <v>-35.6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-1.22</v>
      </c>
      <c r="D46">
        <v>-51.9</v>
      </c>
      <c r="E46" t="str">
        <f t="shared" si="0"/>
        <v>?</v>
      </c>
      <c r="F46">
        <v>-2.3E-2</v>
      </c>
      <c r="G46">
        <v>-23</v>
      </c>
      <c r="H46" t="str">
        <f t="shared" si="1"/>
        <v>-</v>
      </c>
      <c r="I46" s="1">
        <v>-0.95</v>
      </c>
      <c r="J46">
        <v>-43.4</v>
      </c>
      <c r="K46" t="str">
        <f t="shared" si="2"/>
        <v>-</v>
      </c>
      <c r="L46">
        <v>-4.3999999999999997E-2</v>
      </c>
      <c r="M46">
        <v>-37.6</v>
      </c>
      <c r="N46" t="str">
        <f t="shared" si="3"/>
        <v>-</v>
      </c>
      <c r="O46" s="1">
        <v>-1.02</v>
      </c>
      <c r="P46">
        <v>-47</v>
      </c>
      <c r="Q46" t="str">
        <f t="shared" si="4"/>
        <v>-</v>
      </c>
      <c r="R46">
        <v>-5.1999999999999998E-2</v>
      </c>
      <c r="S46">
        <v>-40.9</v>
      </c>
      <c r="T46" s="2" t="str">
        <f t="shared" si="5"/>
        <v>-</v>
      </c>
    </row>
    <row r="47" spans="1:20">
      <c r="A47" s="11" t="s">
        <v>12</v>
      </c>
      <c r="B47" s="13">
        <v>0.8</v>
      </c>
      <c r="C47">
        <v>-2.86</v>
      </c>
      <c r="D47">
        <v>-46.5</v>
      </c>
      <c r="E47" t="str">
        <f t="shared" si="0"/>
        <v>-</v>
      </c>
      <c r="F47">
        <v>-8.6999999999999994E-2</v>
      </c>
      <c r="G47">
        <v>-29.1</v>
      </c>
      <c r="H47" t="str">
        <f t="shared" si="1"/>
        <v>-</v>
      </c>
      <c r="I47" s="1">
        <v>-2.37</v>
      </c>
      <c r="J47">
        <v>-43.4</v>
      </c>
      <c r="K47" t="str">
        <f t="shared" si="2"/>
        <v>-</v>
      </c>
      <c r="L47">
        <v>-9.8000000000000004E-2</v>
      </c>
      <c r="M47">
        <v>-36.799999999999997</v>
      </c>
      <c r="N47" t="str">
        <f t="shared" si="3"/>
        <v>-</v>
      </c>
      <c r="O47" s="1">
        <v>-2.16</v>
      </c>
      <c r="P47">
        <v>-40.4</v>
      </c>
      <c r="Q47" t="str">
        <f t="shared" si="4"/>
        <v>-</v>
      </c>
      <c r="R47">
        <v>-9.6000000000000002E-2</v>
      </c>
      <c r="S47">
        <v>-37.5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-0.19</v>
      </c>
      <c r="D48">
        <v>-14.7</v>
      </c>
      <c r="E48" t="str">
        <f t="shared" si="0"/>
        <v>-</v>
      </c>
      <c r="F48">
        <v>3.3000000000000002E-2</v>
      </c>
      <c r="G48">
        <v>31.7</v>
      </c>
      <c r="H48" t="str">
        <f t="shared" si="1"/>
        <v>-</v>
      </c>
      <c r="I48" s="1">
        <v>0.11</v>
      </c>
      <c r="J48">
        <v>11.8</v>
      </c>
      <c r="K48" t="str">
        <f t="shared" si="2"/>
        <v>-</v>
      </c>
      <c r="L48">
        <v>3.1E-2</v>
      </c>
      <c r="M48">
        <v>40.799999999999997</v>
      </c>
      <c r="N48" t="str">
        <f t="shared" si="3"/>
        <v>-</v>
      </c>
      <c r="O48" s="1">
        <v>-0.35</v>
      </c>
      <c r="P48">
        <v>-28.2</v>
      </c>
      <c r="Q48" t="str">
        <f t="shared" si="4"/>
        <v>-</v>
      </c>
      <c r="R48">
        <v>1.9E-2</v>
      </c>
      <c r="S48">
        <v>29.7</v>
      </c>
      <c r="T48" s="2" t="str">
        <f t="shared" si="5"/>
        <v>-</v>
      </c>
    </row>
    <row r="49" spans="1:20">
      <c r="A49" s="11" t="s">
        <v>9</v>
      </c>
      <c r="B49" s="13">
        <v>0.9</v>
      </c>
      <c r="C49">
        <v>-3.16</v>
      </c>
      <c r="D49">
        <v>-60.2</v>
      </c>
      <c r="E49" t="str">
        <f t="shared" si="0"/>
        <v>?</v>
      </c>
      <c r="F49">
        <v>-7.4999999999999997E-2</v>
      </c>
      <c r="G49">
        <v>-33.9</v>
      </c>
      <c r="H49" t="str">
        <f t="shared" si="1"/>
        <v>-</v>
      </c>
      <c r="I49" s="1">
        <v>-3.42</v>
      </c>
      <c r="J49">
        <v>-63.6</v>
      </c>
      <c r="K49" t="str">
        <f t="shared" si="2"/>
        <v>?</v>
      </c>
      <c r="L49">
        <v>-0.17899999999999999</v>
      </c>
      <c r="M49">
        <v>-57.6</v>
      </c>
      <c r="N49" t="str">
        <f t="shared" si="3"/>
        <v>?</v>
      </c>
      <c r="O49" s="1">
        <v>-3.42</v>
      </c>
      <c r="P49">
        <v>-64</v>
      </c>
      <c r="Q49" t="str">
        <f t="shared" si="4"/>
        <v>?</v>
      </c>
      <c r="R49">
        <v>-0.161</v>
      </c>
      <c r="S49">
        <v>-55.1</v>
      </c>
      <c r="T49" s="2" t="str">
        <f t="shared" si="5"/>
        <v>?</v>
      </c>
    </row>
    <row r="50" spans="1:20">
      <c r="A50" s="11" t="s">
        <v>11</v>
      </c>
      <c r="B50" s="13">
        <v>0.9</v>
      </c>
      <c r="C50">
        <v>-2.35</v>
      </c>
      <c r="D50">
        <v>-57</v>
      </c>
      <c r="E50" t="str">
        <f t="shared" si="0"/>
        <v>?</v>
      </c>
      <c r="F50">
        <v>-6.6000000000000003E-2</v>
      </c>
      <c r="G50">
        <v>-41.5</v>
      </c>
      <c r="H50" t="str">
        <f t="shared" si="1"/>
        <v>-</v>
      </c>
      <c r="I50" s="1">
        <v>-2.46</v>
      </c>
      <c r="J50">
        <v>-61.2</v>
      </c>
      <c r="K50" t="str">
        <f t="shared" si="2"/>
        <v>?</v>
      </c>
      <c r="L50">
        <v>-0.111</v>
      </c>
      <c r="M50">
        <v>-59.7</v>
      </c>
      <c r="N50" t="str">
        <f t="shared" si="3"/>
        <v>?</v>
      </c>
      <c r="O50" s="1">
        <v>-2.37</v>
      </c>
      <c r="P50">
        <v>-59.5</v>
      </c>
      <c r="Q50" t="str">
        <f t="shared" si="4"/>
        <v>?</v>
      </c>
      <c r="R50">
        <v>-0.12</v>
      </c>
      <c r="S50">
        <v>-64.2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-6.2</v>
      </c>
      <c r="D51">
        <v>-58.4</v>
      </c>
      <c r="E51" t="str">
        <f t="shared" si="0"/>
        <v>?</v>
      </c>
      <c r="F51">
        <v>-0.20300000000000001</v>
      </c>
      <c r="G51">
        <v>-52.1</v>
      </c>
      <c r="H51" t="str">
        <f t="shared" si="1"/>
        <v>?</v>
      </c>
      <c r="I51" s="1">
        <v>-5.64</v>
      </c>
      <c r="J51">
        <v>-57.8</v>
      </c>
      <c r="K51" t="str">
        <f t="shared" si="2"/>
        <v>?</v>
      </c>
      <c r="L51">
        <v>-0.27</v>
      </c>
      <c r="M51">
        <v>-65.900000000000006</v>
      </c>
      <c r="N51" t="str">
        <f t="shared" si="3"/>
        <v>?</v>
      </c>
      <c r="O51" s="1">
        <v>-5.66</v>
      </c>
      <c r="P51">
        <v>-58.7</v>
      </c>
      <c r="Q51" t="str">
        <f t="shared" si="4"/>
        <v>?</v>
      </c>
      <c r="R51">
        <v>-0.26600000000000001</v>
      </c>
      <c r="S51">
        <v>-66.7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-0.21</v>
      </c>
      <c r="D52">
        <v>-8</v>
      </c>
      <c r="E52" t="str">
        <f t="shared" si="0"/>
        <v>-</v>
      </c>
      <c r="F52">
        <v>0.107</v>
      </c>
      <c r="G52">
        <v>142.69999999999999</v>
      </c>
      <c r="H52" t="str">
        <f t="shared" si="1"/>
        <v>?</v>
      </c>
      <c r="I52" s="1">
        <v>-0.3</v>
      </c>
      <c r="J52">
        <v>-12.1</v>
      </c>
      <c r="K52" t="str">
        <f t="shared" si="2"/>
        <v>-</v>
      </c>
      <c r="L52">
        <v>0.09</v>
      </c>
      <c r="M52">
        <v>128.6</v>
      </c>
      <c r="N52" t="str">
        <f t="shared" si="3"/>
        <v>?</v>
      </c>
      <c r="O52" s="1">
        <v>-0.75</v>
      </c>
      <c r="P52">
        <v>-26.8</v>
      </c>
      <c r="Q52" t="str">
        <f t="shared" si="4"/>
        <v>-</v>
      </c>
      <c r="R52">
        <v>5.0999999999999997E-2</v>
      </c>
      <c r="S52">
        <v>54.8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-0.78979166666666678</v>
      </c>
      <c r="D56">
        <f>AVERAGE(D$5:D$52)</f>
        <v>-24.452083333333331</v>
      </c>
      <c r="F56">
        <f>AVERAGE(F$5:F$52)</f>
        <v>-1.5187500000000007E-2</v>
      </c>
      <c r="G56">
        <f>AVERAGE(G$5:G$52)</f>
        <v>1.8770833333333317</v>
      </c>
      <c r="H56" s="25"/>
      <c r="I56" s="1">
        <f>AVERAGE(I$5:I$52)</f>
        <v>-0.72895833333333326</v>
      </c>
      <c r="J56">
        <f>AVERAGE(J$5:J$52)</f>
        <v>-13.762500000000001</v>
      </c>
      <c r="L56">
        <f>AVERAGE(L$5:L$52)</f>
        <v>-2.6416666666666672E-2</v>
      </c>
      <c r="M56">
        <f>AVERAGE(M$5:M$52)</f>
        <v>4.0729166666666652</v>
      </c>
      <c r="N56" s="2"/>
      <c r="O56" s="25">
        <f>AVERAGE(O$5:O$52)</f>
        <v>-0.77562500000000023</v>
      </c>
      <c r="P56">
        <f>AVERAGE(P$5:P$52)</f>
        <v>-25.102083333333329</v>
      </c>
      <c r="R56">
        <f>AVERAGE(R$5:R$52)</f>
        <v>-3.2520833333333346E-2</v>
      </c>
      <c r="S56">
        <f>AVERAGE(S$5:S$52)</f>
        <v>-6.6291666666666664</v>
      </c>
      <c r="T56" s="25"/>
    </row>
    <row r="57" spans="1:20">
      <c r="B57" s="4" t="s">
        <v>20</v>
      </c>
      <c r="C57" s="25">
        <f>MEDIAN(C$5:C$52)</f>
        <v>-0.41</v>
      </c>
      <c r="D57">
        <f>MEDIAN(D$5:D$52)</f>
        <v>-22.200000000000003</v>
      </c>
      <c r="F57">
        <f>MEDIAN(F$5:F$52)</f>
        <v>-1.7500000000000002E-2</v>
      </c>
      <c r="G57">
        <f>MEDIAN(G$5:G$52)</f>
        <v>-12.55</v>
      </c>
      <c r="H57" s="25"/>
      <c r="I57" s="1">
        <f>MEDIAN(I$5:I$52)</f>
        <v>-0.435</v>
      </c>
      <c r="J57">
        <f>MEDIAN(J$5:J$52)</f>
        <v>-28.1</v>
      </c>
      <c r="L57">
        <f>MEDIAN(L$5:L$52)</f>
        <v>-2.1999999999999999E-2</v>
      </c>
      <c r="M57">
        <f>MEDIAN(M$5:M$52)</f>
        <v>-17.100000000000001</v>
      </c>
      <c r="N57" s="2"/>
      <c r="O57" s="25">
        <f>MEDIAN(O$5:O$52)</f>
        <v>-0.49</v>
      </c>
      <c r="P57">
        <f>MEDIAN(P$5:P$52)</f>
        <v>-28.6</v>
      </c>
      <c r="R57">
        <f>MEDIAN(R$5:R$52)</f>
        <v>-0.03</v>
      </c>
      <c r="S57">
        <f>MEDIAN(S$5:S$52)</f>
        <v>-21.85</v>
      </c>
      <c r="T57" s="25"/>
    </row>
    <row r="58" spans="1:20">
      <c r="B58" s="4" t="s">
        <v>21</v>
      </c>
      <c r="C58" s="25">
        <f>STDEV(C$5:C$52)</f>
        <v>1.1891987103487101</v>
      </c>
      <c r="D58">
        <f>STDEV(D$5:D$52)</f>
        <v>20.315448367581908</v>
      </c>
      <c r="F58">
        <f>STDEV(F$5:F$52)</f>
        <v>4.8805587511476851E-2</v>
      </c>
      <c r="G58">
        <f>STDEV(G$5:G$52)</f>
        <v>43.445986223949745</v>
      </c>
      <c r="H58" s="25"/>
      <c r="I58" s="1">
        <f>STDEV(I$5:I$52)</f>
        <v>1.160537732266463</v>
      </c>
      <c r="J58">
        <f>STDEV(J$5:J$52)</f>
        <v>39.711516229887216</v>
      </c>
      <c r="L58">
        <f>STDEV(L$5:L$52)</f>
        <v>6.7633503385096383E-2</v>
      </c>
      <c r="M58">
        <f>STDEV(M$5:M$52)</f>
        <v>60.903403599761653</v>
      </c>
      <c r="N58" s="2"/>
      <c r="O58" s="25">
        <f>STDEV(O$5:O$52)</f>
        <v>1.0460216552210997</v>
      </c>
      <c r="P58">
        <f>STDEV(P$5:P$52)</f>
        <v>22.439227520964014</v>
      </c>
      <c r="R58">
        <f>STDEV(R$5:R$52)</f>
        <v>5.9774038904447088E-2</v>
      </c>
      <c r="S58">
        <f>STDEV(S$5:S$52)</f>
        <v>49.227746709546743</v>
      </c>
      <c r="T58" s="25"/>
    </row>
    <row r="59" spans="1:20">
      <c r="B59" s="4" t="s">
        <v>22</v>
      </c>
      <c r="C59" s="25">
        <f>COUNTIF(C$5:C$52, "&lt;0")</f>
        <v>42</v>
      </c>
      <c r="D59">
        <f>COUNTIF(D$5:D$52, "&lt;0")</f>
        <v>42</v>
      </c>
      <c r="F59">
        <f>COUNTIF(F$5:F$52, "&lt;0")</f>
        <v>30</v>
      </c>
      <c r="G59">
        <f>COUNTIF(G$5:G$52, "&lt;0")</f>
        <v>30</v>
      </c>
      <c r="H59" s="25"/>
      <c r="I59" s="1">
        <f>COUNTIF(I$5:I$52, "&lt;0")</f>
        <v>36</v>
      </c>
      <c r="J59">
        <f>COUNTIF(J$5:J$52, "&lt;0")</f>
        <v>36</v>
      </c>
      <c r="L59">
        <f>COUNTIF(L$5:L$52, "&lt;0")</f>
        <v>35</v>
      </c>
      <c r="M59">
        <f>COUNTIF(M$5:M$52, "&lt;0")</f>
        <v>35</v>
      </c>
      <c r="N59" s="2"/>
      <c r="O59" s="25">
        <f>COUNTIF(O$5:O$52, "&lt;0")</f>
        <v>43</v>
      </c>
      <c r="P59">
        <f>COUNTIF(P$5:P$52, "&lt;0")</f>
        <v>43</v>
      </c>
      <c r="R59">
        <f>COUNTIF(R$5:R$52, "&lt;0")</f>
        <v>36</v>
      </c>
      <c r="S59">
        <f>COUNTIF(S$5:S$52, "&lt;0")</f>
        <v>36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-0.56583333333333341</v>
      </c>
      <c r="D63">
        <f>AVERAGE(D$5:D$28)</f>
        <v>-18.716666666666665</v>
      </c>
      <c r="F63">
        <f>AVERAGE(F$5:F$28)</f>
        <v>-1.1375000000000008E-2</v>
      </c>
      <c r="G63">
        <f>AVERAGE(G$5:G$28)</f>
        <v>3.2291666666666643</v>
      </c>
      <c r="H63" s="25"/>
      <c r="I63" s="1">
        <f>AVERAGE(I$5:I$28)</f>
        <v>-0.54375000000000007</v>
      </c>
      <c r="J63">
        <f>AVERAGE(J$5:J$28)</f>
        <v>-6.9708333333333359</v>
      </c>
      <c r="L63">
        <f>AVERAGE(L$5:L$28)</f>
        <v>-2.0958333333333332E-2</v>
      </c>
      <c r="M63">
        <f>AVERAGE(M$5:M$28)</f>
        <v>8.716666666666665</v>
      </c>
      <c r="N63" s="2"/>
      <c r="O63" s="25">
        <f>AVERAGE(O$5:O$28)</f>
        <v>-0.58583333333333354</v>
      </c>
      <c r="P63">
        <f>AVERAGE(P$5:P$28)</f>
        <v>-21.966666666666658</v>
      </c>
      <c r="R63">
        <f>AVERAGE(R$5:R$28)</f>
        <v>-2.5708333333333337E-2</v>
      </c>
      <c r="S63">
        <f>AVERAGE(S$5:S$28)</f>
        <v>-2.6374999999999997</v>
      </c>
      <c r="T63" s="25"/>
    </row>
    <row r="64" spans="1:20">
      <c r="B64" s="4" t="s">
        <v>20</v>
      </c>
      <c r="C64" s="25">
        <f>MEDIAN(C$5:C$28)</f>
        <v>-0.35499999999999998</v>
      </c>
      <c r="D64">
        <f>MEDIAN(D$5:D$28)</f>
        <v>-18.100000000000001</v>
      </c>
      <c r="F64">
        <f>MEDIAN(F$5:F$28)</f>
        <v>-1.7500000000000002E-2</v>
      </c>
      <c r="G64">
        <f>MEDIAN(G$5:G$28)</f>
        <v>-12.4</v>
      </c>
      <c r="H64" s="25"/>
      <c r="I64" s="1">
        <f>MEDIAN(I$5:I$28)</f>
        <v>-0.42</v>
      </c>
      <c r="J64">
        <f>MEDIAN(J$5:J$28)</f>
        <v>-24.65</v>
      </c>
      <c r="L64">
        <f>MEDIAN(L$5:L$28)</f>
        <v>-1.9E-2</v>
      </c>
      <c r="M64">
        <f>MEDIAN(M$5:M$28)</f>
        <v>-15.899999999999999</v>
      </c>
      <c r="N64" s="2"/>
      <c r="O64" s="25">
        <f>MEDIAN(O$5:O$28)</f>
        <v>-0.435</v>
      </c>
      <c r="P64">
        <f>MEDIAN(P$5:P$28)</f>
        <v>-25.95</v>
      </c>
      <c r="R64">
        <f>MEDIAN(R$5:R$28)</f>
        <v>-0.03</v>
      </c>
      <c r="S64">
        <f>MEDIAN(S$5:S$28)</f>
        <v>-21.85</v>
      </c>
      <c r="T64" s="25"/>
    </row>
    <row r="65" spans="2:20">
      <c r="B65" s="4" t="s">
        <v>21</v>
      </c>
      <c r="C65" s="25">
        <f>STDEV(C$5:C$28)</f>
        <v>0.89450941943015627</v>
      </c>
      <c r="D65">
        <f>STDEV(D$5:D$28)</f>
        <v>20.930229161517154</v>
      </c>
      <c r="F65">
        <f>STDEV(F$5:F$28)</f>
        <v>4.0749299807267957E-2</v>
      </c>
      <c r="G65">
        <f>STDEV(G$5:G$28)</f>
        <v>41.696673615286272</v>
      </c>
      <c r="H65" s="25"/>
      <c r="I65" s="1">
        <f>STDEV(I$5:I$28)</f>
        <v>0.90154848672328392</v>
      </c>
      <c r="J65">
        <f>STDEV(J$5:J$28)</f>
        <v>46.524920663593001</v>
      </c>
      <c r="L65">
        <f>STDEV(L$5:L$28)</f>
        <v>5.9167028984397886E-2</v>
      </c>
      <c r="M65">
        <f>STDEV(M$5:M$28)</f>
        <v>68.148212306558065</v>
      </c>
      <c r="N65" s="2"/>
      <c r="O65" s="25">
        <f>STDEV(O$5:O$28)</f>
        <v>0.67461368440642056</v>
      </c>
      <c r="P65">
        <f>STDEV(P$5:P$28)</f>
        <v>23.214288453575257</v>
      </c>
      <c r="R65">
        <f>STDEV(R$5:R$28)</f>
        <v>4.9390616224283868E-2</v>
      </c>
      <c r="S65">
        <f>STDEV(S$5:S$28)</f>
        <v>54.311243231069085</v>
      </c>
      <c r="T65" s="25"/>
    </row>
    <row r="66" spans="2:20">
      <c r="B66" s="4" t="s">
        <v>22</v>
      </c>
      <c r="C66" s="25">
        <f>COUNTIF(C$5:C$28, "&lt;0")</f>
        <v>19</v>
      </c>
      <c r="D66">
        <f>COUNTIF(D$5:D$28, "&lt;0")</f>
        <v>19</v>
      </c>
      <c r="F66">
        <f>COUNTIF(F$5:F$28, "&lt;0")</f>
        <v>15</v>
      </c>
      <c r="G66">
        <f>COUNTIF(G$5:G$28, "&lt;0")</f>
        <v>15</v>
      </c>
      <c r="H66" s="25"/>
      <c r="I66" s="1">
        <f>COUNTIF(I$5:I$28, "&lt;0")</f>
        <v>17</v>
      </c>
      <c r="J66">
        <f>COUNTIF(J$5:J$28, "&lt;0")</f>
        <v>17</v>
      </c>
      <c r="L66">
        <f>COUNTIF(L$5:L$28, "&lt;0")</f>
        <v>18</v>
      </c>
      <c r="M66">
        <f>COUNTIF(M$5:M$28, "&lt;0")</f>
        <v>18</v>
      </c>
      <c r="N66" s="2"/>
      <c r="O66" s="25">
        <f>COUNTIF(O$5:O$28, "&lt;0")</f>
        <v>21</v>
      </c>
      <c r="P66">
        <f>COUNTIF(P$5:P$28, "&lt;0")</f>
        <v>21</v>
      </c>
      <c r="R66">
        <f>COUNTIF(R$5:R$28, "&lt;0")</f>
        <v>17</v>
      </c>
      <c r="S66">
        <f>COUNTIF(S$5:S$28, "&lt;0")</f>
        <v>17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-1.0137500000000002</v>
      </c>
      <c r="D70">
        <f>AVERAGE(D$29:D$52)</f>
        <v>-30.187500000000004</v>
      </c>
      <c r="F70">
        <f>AVERAGE(F$29:F$52)</f>
        <v>-1.9E-2</v>
      </c>
      <c r="G70">
        <f>AVERAGE(G$29:G$52)</f>
        <v>0.52499999999999858</v>
      </c>
      <c r="H70" s="25"/>
      <c r="I70" s="1">
        <f>AVERAGE(I$29:I$52)</f>
        <v>-0.91416666666666668</v>
      </c>
      <c r="J70">
        <f>AVERAGE(J$29:J$52)</f>
        <v>-20.554166666666667</v>
      </c>
      <c r="L70">
        <f>AVERAGE(L$29:L$52)</f>
        <v>-3.1875000000000007E-2</v>
      </c>
      <c r="M70">
        <f>AVERAGE(M$29:M$52)</f>
        <v>-0.57083333333333408</v>
      </c>
      <c r="N70" s="2"/>
      <c r="O70" s="25">
        <f>AVERAGE(O$29:O$52)</f>
        <v>-0.96541666666666659</v>
      </c>
      <c r="P70">
        <f>AVERAGE(P$29:P$52)</f>
        <v>-28.237500000000001</v>
      </c>
      <c r="R70">
        <f>AVERAGE(R$29:R$52)</f>
        <v>-3.9333333333333331E-2</v>
      </c>
      <c r="S70">
        <f>AVERAGE(S$29:S$52)</f>
        <v>-10.620833333333332</v>
      </c>
      <c r="T70" s="25"/>
    </row>
    <row r="71" spans="2:20">
      <c r="B71" s="4" t="s">
        <v>20</v>
      </c>
      <c r="C71" s="25">
        <f>MEDIAN(C$29:C$52)</f>
        <v>-0.49</v>
      </c>
      <c r="D71">
        <f>MEDIAN(D$29:D$52)</f>
        <v>-31.15</v>
      </c>
      <c r="F71">
        <f>MEDIAN(F$29:F$52)</f>
        <v>-1.8000000000000002E-2</v>
      </c>
      <c r="G71">
        <f>MEDIAN(G$29:G$52)</f>
        <v>-13.399999999999999</v>
      </c>
      <c r="H71" s="25"/>
      <c r="I71" s="1">
        <f>MEDIAN(I$29:I$52)</f>
        <v>-0.47</v>
      </c>
      <c r="J71">
        <f>MEDIAN(J$29:J$52)</f>
        <v>-28.25</v>
      </c>
      <c r="L71">
        <f>MEDIAN(L$29:L$52)</f>
        <v>-2.4500000000000001E-2</v>
      </c>
      <c r="M71">
        <f>MEDIAN(M$29:M$52)</f>
        <v>-20.799999999999997</v>
      </c>
      <c r="N71" s="2"/>
      <c r="O71" s="25">
        <f>MEDIAN(O$29:O$52)</f>
        <v>-0.5</v>
      </c>
      <c r="P71">
        <f>MEDIAN(P$29:P$52)</f>
        <v>-30</v>
      </c>
      <c r="R71">
        <f>MEDIAN(R$29:R$52)</f>
        <v>-2.8000000000000001E-2</v>
      </c>
      <c r="S71">
        <f>MEDIAN(S$29:S$52)</f>
        <v>-22.65</v>
      </c>
      <c r="T71" s="25"/>
    </row>
    <row r="72" spans="2:20">
      <c r="B72" s="4" t="s">
        <v>21</v>
      </c>
      <c r="C72" s="25">
        <f>STDEV(C$29:C$52)</f>
        <v>1.4089182174555983</v>
      </c>
      <c r="D72">
        <f>STDEV(D$29:D$52)</f>
        <v>18.348138455511194</v>
      </c>
      <c r="F72">
        <f>STDEV(F$29:F$52)</f>
        <v>5.6362182819457173E-2</v>
      </c>
      <c r="G72">
        <f>STDEV(G$29:G$52)</f>
        <v>45.98638030888106</v>
      </c>
      <c r="H72" s="25"/>
      <c r="I72" s="1">
        <f>STDEV(I$29:I$52)</f>
        <v>1.3667031631747562</v>
      </c>
      <c r="J72">
        <f>STDEV(J$29:J$52)</f>
        <v>31.011960934686037</v>
      </c>
      <c r="L72">
        <f>STDEV(L$29:L$52)</f>
        <v>7.6056222053448572E-2</v>
      </c>
      <c r="M72">
        <f>STDEV(M$29:M$52)</f>
        <v>53.763713956587836</v>
      </c>
      <c r="N72" s="2"/>
      <c r="O72" s="25">
        <f>STDEV(O$29:O$52)</f>
        <v>1.3059928063143869</v>
      </c>
      <c r="P72">
        <f>STDEV(P$29:P$52)</f>
        <v>21.668185704833032</v>
      </c>
      <c r="R72">
        <f>STDEV(R$29:R$52)</f>
        <v>6.9028454540369683E-2</v>
      </c>
      <c r="S72">
        <f>STDEV(S$29:S$52)</f>
        <v>44.375022147371489</v>
      </c>
      <c r="T72" s="25"/>
    </row>
    <row r="73" spans="2:20">
      <c r="B73" s="4" t="s">
        <v>22</v>
      </c>
      <c r="C73" s="25">
        <f>COUNTIF(C$29:C$52, "&lt;0")</f>
        <v>23</v>
      </c>
      <c r="D73">
        <f>COUNTIF(D$29:D$52, "&lt;0")</f>
        <v>23</v>
      </c>
      <c r="F73">
        <f>COUNTIF(F$29:F$52, "&lt;0")</f>
        <v>15</v>
      </c>
      <c r="G73">
        <f>COUNTIF(G$29:G$52, "&lt;0")</f>
        <v>15</v>
      </c>
      <c r="H73" s="25"/>
      <c r="I73" s="1">
        <f>COUNTIF(I$29:I$52, "&lt;0")</f>
        <v>19</v>
      </c>
      <c r="J73">
        <f>COUNTIF(J$29:J$52, "&lt;0")</f>
        <v>19</v>
      </c>
      <c r="L73">
        <f>COUNTIF(L$29:L$52, "&lt;0")</f>
        <v>17</v>
      </c>
      <c r="M73">
        <f>COUNTIF(M$29:M$52, "&lt;0")</f>
        <v>17</v>
      </c>
      <c r="N73" s="2"/>
      <c r="O73" s="25">
        <f>COUNTIF(O$29:O$52, "&lt;0")</f>
        <v>22</v>
      </c>
      <c r="P73">
        <f>COUNTIF(P$29:P$52, "&lt;0")</f>
        <v>22</v>
      </c>
      <c r="R73">
        <f>COUNTIF(R$29:R$52, "&lt;0")</f>
        <v>19</v>
      </c>
      <c r="S73">
        <f>COUNTIF(S$29:S$52, "&lt;0")</f>
        <v>19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-0.76479166666666687</v>
      </c>
      <c r="D77">
        <f>AVERAGE(D$5:D$52,J$5:J$52,P$5:P$52)</f>
        <v>-21.105555555555569</v>
      </c>
      <c r="F77">
        <f>AVERAGE(F$5:F$52,L$5:L$52,R$5:R$52)</f>
        <v>-2.4708333333333332E-2</v>
      </c>
      <c r="G77">
        <f>AVERAGE(G$5:G$52,M$5:M$52,S$5:S$52)</f>
        <v>-0.22638888888888994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-0.435</v>
      </c>
      <c r="D78">
        <f>MEDIAN(D$5:D$52,J$5:J$52,P$5:P$52)</f>
        <v>-27.15</v>
      </c>
      <c r="F78">
        <f>MEDIAN(F$5:F$52,L$5:L$52,R$5:R$52)</f>
        <v>-2.3E-2</v>
      </c>
      <c r="G78">
        <f>MEDIAN(G$5:G$52,M$5:M$52,S$5:S$52)</f>
        <v>-16.55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1.1259550530409868</v>
      </c>
      <c r="D79">
        <f>STDEV(D$5:D$52,J$5:J$52,P$5:P$52)</f>
        <v>29.097705621173507</v>
      </c>
      <c r="F79">
        <f>STDEV(F$5:F$52,L$5:L$52,R$5:R$52)</f>
        <v>5.9266716682246742E-2</v>
      </c>
      <c r="G79">
        <f>STDEV(G$5:G$52,M$5:M$52,S$5:S$52)</f>
        <v>51.550397617874836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121</v>
      </c>
      <c r="D80">
        <f>COUNTIF(D$5:D$52, "&lt;0")+COUNTIF(J$5:J$52, "&lt;0")+COUNTIF(P$5:P$52, "&lt;0")</f>
        <v>121</v>
      </c>
      <c r="F80">
        <f>COUNTIF(F$5:F$52, "&lt;0")+COUNTIF(L$5:L$52, "&lt;0")+COUNTIF(R$5:R$52, "&lt;0")</f>
        <v>101</v>
      </c>
      <c r="G80">
        <f>COUNTIF(G$5:G$52, "&lt;0")+COUNTIF(M$5:M$52, "&lt;0")+COUNTIF(S$5:S$52, "&lt;0")</f>
        <v>101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0.84104166666666702</v>
      </c>
      <c r="D83" cm="1">
        <f t="array" ref="D83">AVERAGE(ABS(D$5:D$52),ABS(J$5:J$52),ABS(P$5:P$52))</f>
        <v>31.197222222222237</v>
      </c>
      <c r="F83" cm="1">
        <f t="array" ref="F83">AVERAGE(ABS(F$5:F$52),ABS(L$5:L$52),ABS(R$5:R$52))</f>
        <v>4.519444444444444E-2</v>
      </c>
      <c r="G83" cm="1">
        <f t="array" ref="G83">AVERAGE(ABS(G$5:G$52),ABS(M$5:M$52),ABS(S$5:S$52))</f>
        <v>36.698611111111134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0.49</v>
      </c>
      <c r="D84" cm="1">
        <f t="array" ref="D84">MEDIAN(ABS(D$5:D$52),ABS(J$5:J$52),ABS(P$5:P$52))</f>
        <v>30.15</v>
      </c>
      <c r="F84" cm="1">
        <f t="array" ref="F84">MEDIAN(ABS(F$5:F$52),ABS(L$5:L$52),ABS(R$5:R$52))</f>
        <v>3.3000000000000002E-2</v>
      </c>
      <c r="G84" cm="1">
        <f t="array" ref="G84">MEDIAN(ABS(G$5:G$52),ABS(M$5:M$52),ABS(S$5:S$52))</f>
        <v>27.4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1.0698007910435858</v>
      </c>
      <c r="D85" cm="1">
        <f t="array" ref="D85">STDEV(ABS(D$5:D$52),ABS(J$5:J$52),ABS(P$5:P$52))</f>
        <v>17.752836646947681</v>
      </c>
      <c r="F85" cm="1">
        <f t="array" ref="F85">STDEV(ABS(F$5:F$52),ABS(L$5:L$52),ABS(R$5:R$52))</f>
        <v>4.550267459714203E-2</v>
      </c>
      <c r="G85" cm="1">
        <f t="array" ref="G85">STDEV(ABS(G$5:G$52),ABS(M$5:M$52),ABS(S$5:S$52))</f>
        <v>36.073382834251191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-0.56513888888888908</v>
      </c>
      <c r="D89">
        <f>AVERAGE(D$5:D$28,J$5:J$28,P$5:P$28)</f>
        <v>-15.884722222222223</v>
      </c>
      <c r="F89">
        <f>AVERAGE(F$5:F$28,L$5:L$28,R$5:R$28)</f>
        <v>-1.9347222222222224E-2</v>
      </c>
      <c r="G89">
        <f>AVERAGE(G$5:G$28,M$5:M$28,S$5:S$28)</f>
        <v>3.1027777777777761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-0.4</v>
      </c>
      <c r="D90">
        <f>MEDIAN(D$5:D$28,J$5:J$28,P$5:P$28)</f>
        <v>-21.65</v>
      </c>
      <c r="F90">
        <f>MEDIAN(F$5:F$28,L$5:L$28,R$5:R$28)</f>
        <v>-2.1999999999999999E-2</v>
      </c>
      <c r="G90">
        <f>MEDIAN(G$5:G$28,M$5:M$28,S$5:S$28)</f>
        <v>-16.399999999999999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0.81867462978418293</v>
      </c>
      <c r="D91">
        <f>STDEV(D$5:D$28,J$5:J$28,P$5:P$28)</f>
        <v>32.553914801999419</v>
      </c>
      <c r="F91">
        <f>STDEV(F$5:F$28,L$5:L$28,R$5:R$28)</f>
        <v>4.998229537876591E-2</v>
      </c>
      <c r="G91">
        <f>STDEV(G$5:G$28,M$5:M$28,S$5:S$28)</f>
        <v>55.181536441152673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57</v>
      </c>
      <c r="D92">
        <f>COUNTIF(D$5:D$28, "&lt;0")+COUNTIF(J$5:J$28, "&lt;0")+COUNTIF(P$5:P$28, "&lt;0")</f>
        <v>57</v>
      </c>
      <c r="F92">
        <f>COUNTIF(F$5:F$28, "&lt;0")+COUNTIF(L$5:L$28, "&lt;0")+COUNTIF(R$5:R$28, "&lt;0")</f>
        <v>50</v>
      </c>
      <c r="G92">
        <f>COUNTIF(G$5:G$28, "&lt;0")+COUNTIF(M$5:M$28, "&lt;0")+COUNTIF(S$5:S$28, "&lt;0")</f>
        <v>50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0.67958333333333332</v>
      </c>
      <c r="D95" cm="1">
        <f t="array" ref="D95">AVERAGE(ABS(D$5:D$28),ABS(J$5:J$28),ABS(P$5:P$28))</f>
        <v>30.673611111111125</v>
      </c>
      <c r="F95" cm="1">
        <f t="array" ref="F95">AVERAGE(ABS(F$5:F$28),ABS(L$5:L$28),ABS(R$5:R$28))</f>
        <v>4.1486111111111099E-2</v>
      </c>
      <c r="G95" cm="1">
        <f t="array" ref="G95">AVERAGE(ABS(G$5:G$28),ABS(M$5:M$28),ABS(S$5:S$28))</f>
        <v>37.791666666666657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0.44</v>
      </c>
      <c r="D96" cm="1">
        <f t="array" ref="D96">MEDIAN(ABS(D$5:D$28),ABS(J$5:J$28),ABS(P$5:P$28))</f>
        <v>28.95</v>
      </c>
      <c r="F96" cm="1">
        <f t="array" ref="F96">MEDIAN(ABS(F$5:F$28),ABS(L$5:L$28),ABS(R$5:R$28))</f>
        <v>3.4500000000000003E-2</v>
      </c>
      <c r="G96" cm="1">
        <f t="array" ref="G96">MEDIAN(ABS(G$5:G$28),ABS(M$5:M$28),ABS(S$5:S$28))</f>
        <v>23.75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0.72510016306636782</v>
      </c>
      <c r="D97" cm="1">
        <f t="array" ref="D97">STDEV(ABS(D$5:D$28),ABS(J$5:J$28),ABS(P$5:P$28))</f>
        <v>19.013508860033653</v>
      </c>
      <c r="F97" cm="1">
        <f t="array" ref="F97">STDEV(ABS(F$5:F$28),ABS(L$5:L$28),ABS(R$5:R$28))</f>
        <v>3.3652320538430702E-2</v>
      </c>
      <c r="G97" cm="1">
        <f t="array" ref="G97">STDEV(ABS(G$5:G$28),ABS(M$5:M$28),ABS(S$5:S$28))</f>
        <v>40.080407738782341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-0.96444444444444444</v>
      </c>
      <c r="D101">
        <f>AVERAGE(D$29:D$52,J$29:J$52,P$29:P$52)</f>
        <v>-26.326388888888882</v>
      </c>
      <c r="F101">
        <f>AVERAGE(F$29:F$52,L$29:L$52,R$29:R$52)</f>
        <v>-3.0069444444444444E-2</v>
      </c>
      <c r="G101">
        <f>AVERAGE(G$29:G$52,M$29:M$52,S$29:S$52)</f>
        <v>-3.5555555555555554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-0.495</v>
      </c>
      <c r="D102">
        <f>MEDIAN(D$29:D$52,J$29:J$52,P$29:P$52)</f>
        <v>-30</v>
      </c>
      <c r="F102">
        <f>MEDIAN(F$29:F$52,L$29:L$52,R$29:R$52)</f>
        <v>-2.35E-2</v>
      </c>
      <c r="G102">
        <f>MEDIAN(G$29:G$52,M$29:M$52,S$29:S$52)</f>
        <v>-16.7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1.3425096205901661</v>
      </c>
      <c r="D103">
        <f>STDEV(D$29:D$52,J$29:J$52,P$29:P$52)</f>
        <v>24.294826395615893</v>
      </c>
      <c r="F103">
        <f>STDEV(F$29:F$52,L$29:L$52,R$29:R$52)</f>
        <v>6.7216347439200338E-2</v>
      </c>
      <c r="G103">
        <f>STDEV(G$29:G$52,M$29:M$52,S$29:S$52)</f>
        <v>47.799946634683195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64</v>
      </c>
      <c r="D104">
        <f>COUNTIF(D$29:D$52, "&lt;0")+COUNTIF(J$29:J$52, "&lt;0")+COUNTIF(P$29:P$52, "&lt;0")</f>
        <v>64</v>
      </c>
      <c r="F104">
        <f>COUNTIF(F$29:F$52, "&lt;0")+COUNTIF(L$29:L$52, "&lt;0")+COUNTIF(R$29:R$52, "&lt;0")</f>
        <v>51</v>
      </c>
      <c r="G104">
        <f>COUNTIF(G$29:G$52, "&lt;0")+COUNTIF(M$29:M$52, "&lt;0")+COUNTIF(S$29:S$52, "&lt;0")</f>
        <v>51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1.0024999999999999</v>
      </c>
      <c r="D107" cm="1">
        <f t="array" ref="D107">AVERAGE(ABS(D$29:D$52),ABS(J$29:J$52),ABS(P$29:P$52))</f>
        <v>31.720833333333335</v>
      </c>
      <c r="F107" cm="1">
        <f t="array" ref="F107">AVERAGE(ABS(F$29:F$52),ABS(L$29:L$52),ABS(R$29:R$52))</f>
        <v>4.8902777777777774E-2</v>
      </c>
      <c r="G107" cm="1">
        <f t="array" ref="G107">AVERAGE(ABS(G$29:G$52),ABS(M$29:M$52),ABS(S$29:S$52))</f>
        <v>35.60555555555554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0.495</v>
      </c>
      <c r="D108" cm="1">
        <f t="array" ref="D108">MEDIAN(ABS(D$29:D$52),ABS(J$29:J$52),ABS(P$29:P$52))</f>
        <v>31.5</v>
      </c>
      <c r="F108" cm="1">
        <f t="array" ref="F108">MEDIAN(ABS(F$29:F$52),ABS(L$29:L$52),ABS(R$29:R$52))</f>
        <v>3.15E-2</v>
      </c>
      <c r="G108" cm="1">
        <f t="array" ref="G108">MEDIAN(ABS(G$29:G$52),ABS(M$29:M$52),ABS(S$29:S$52))</f>
        <v>28.25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1.3139347959040144</v>
      </c>
      <c r="D109" cm="1">
        <f t="array" ref="D109">STDEV(ABS(D$29:D$52),ABS(J$29:J$52),ABS(P$29:P$52))</f>
        <v>16.513502264578936</v>
      </c>
      <c r="F109" cm="1">
        <f t="array" ref="F109">STDEV(ABS(F$29:F$52),ABS(L$29:L$52),ABS(R$29:R$52))</f>
        <v>5.4861454110375643E-2</v>
      </c>
      <c r="G109" cm="1">
        <f t="array" ref="G109">STDEV(ABS(G$29:G$52),ABS(M$29:M$52),ABS(S$29:S$52))</f>
        <v>31.812633193008846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DD16-BD4A-4C1D-810B-F8B8343C4BFA}">
  <dimension ref="A1:T109"/>
  <sheetViews>
    <sheetView topLeftCell="A37" workbookViewId="0">
      <selection activeCell="L38" sqref="L38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0.13</v>
      </c>
      <c r="D5">
        <v>8.4</v>
      </c>
      <c r="E5" t="str">
        <f>IF(ABS(D5)&gt;50,"?","-")</f>
        <v>-</v>
      </c>
      <c r="F5">
        <v>-1.4E-2</v>
      </c>
      <c r="G5">
        <v>-9.8000000000000007</v>
      </c>
      <c r="H5" t="str">
        <f>IF(ABS(G5)&gt;50,"?","-")</f>
        <v>-</v>
      </c>
      <c r="I5" s="1">
        <v>-0.12</v>
      </c>
      <c r="J5">
        <v>-7.3</v>
      </c>
      <c r="K5" t="str">
        <f>IF(ABS(J5)&gt;50,"?","-")</f>
        <v>-</v>
      </c>
      <c r="L5">
        <v>-5.0999999999999997E-2</v>
      </c>
      <c r="M5">
        <v>-32.299999999999997</v>
      </c>
      <c r="N5" t="str">
        <f>IF(ABS(M5)&gt;50,"?","-")</f>
        <v>-</v>
      </c>
      <c r="O5" s="1">
        <v>0.02</v>
      </c>
      <c r="P5">
        <v>1.3</v>
      </c>
      <c r="Q5" t="str">
        <f>IF(ABS(P5)&gt;50,"?","-")</f>
        <v>-</v>
      </c>
      <c r="R5">
        <v>-3.5999999999999997E-2</v>
      </c>
      <c r="S5">
        <v>-24.8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0.02</v>
      </c>
      <c r="D6">
        <v>1.5</v>
      </c>
      <c r="E6" t="str">
        <f t="shared" ref="E6:E52" si="0">IF(ABS(D6)&gt;50,"?","-")</f>
        <v>-</v>
      </c>
      <c r="F6">
        <v>-2.9000000000000001E-2</v>
      </c>
      <c r="G6">
        <v>-27.6</v>
      </c>
      <c r="H6" t="str">
        <f t="shared" ref="H6:H52" si="1">IF(ABS(G6)&gt;50,"?","-")</f>
        <v>-</v>
      </c>
      <c r="I6" s="1">
        <v>-0.06</v>
      </c>
      <c r="J6">
        <v>-4.4000000000000004</v>
      </c>
      <c r="K6" t="str">
        <f t="shared" ref="K6:K52" si="2">IF(ABS(J6)&gt;50,"?","-")</f>
        <v>-</v>
      </c>
      <c r="L6">
        <v>-3.6999999999999998E-2</v>
      </c>
      <c r="M6">
        <v>-35.9</v>
      </c>
      <c r="N6" t="str">
        <f t="shared" ref="N6:N52" si="3">IF(ABS(M6)&gt;50,"?","-")</f>
        <v>-</v>
      </c>
      <c r="O6" s="1">
        <v>0.03</v>
      </c>
      <c r="P6">
        <v>2.2000000000000002</v>
      </c>
      <c r="Q6" t="str">
        <f t="shared" ref="Q6:Q52" si="4">IF(ABS(P6)&gt;50,"?","-")</f>
        <v>-</v>
      </c>
      <c r="R6">
        <v>-2.3E-2</v>
      </c>
      <c r="S6">
        <v>-22.3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-1.45</v>
      </c>
      <c r="D7">
        <v>-30.3</v>
      </c>
      <c r="E7" t="str">
        <f t="shared" si="0"/>
        <v>-</v>
      </c>
      <c r="F7">
        <v>-8.7999999999999995E-2</v>
      </c>
      <c r="G7">
        <v>-28.4</v>
      </c>
      <c r="H7" t="str">
        <f t="shared" si="1"/>
        <v>-</v>
      </c>
      <c r="I7" s="1">
        <v>-1.57</v>
      </c>
      <c r="J7">
        <v>-37.5</v>
      </c>
      <c r="K7" t="str">
        <f t="shared" si="2"/>
        <v>-</v>
      </c>
      <c r="L7">
        <v>-0.13500000000000001</v>
      </c>
      <c r="M7">
        <v>-47.4</v>
      </c>
      <c r="N7" t="str">
        <f t="shared" si="3"/>
        <v>-</v>
      </c>
      <c r="O7" s="1">
        <v>-1.26</v>
      </c>
      <c r="P7">
        <v>-30.5</v>
      </c>
      <c r="Q7" t="str">
        <f t="shared" si="4"/>
        <v>-</v>
      </c>
      <c r="R7">
        <v>-0.13500000000000001</v>
      </c>
      <c r="S7">
        <v>-49.1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-0.15</v>
      </c>
      <c r="D8">
        <v>-10.3</v>
      </c>
      <c r="E8" t="str">
        <f t="shared" si="0"/>
        <v>-</v>
      </c>
      <c r="F8">
        <v>2.3E-2</v>
      </c>
      <c r="G8">
        <v>17.399999999999999</v>
      </c>
      <c r="H8" t="str">
        <f t="shared" si="1"/>
        <v>-</v>
      </c>
      <c r="I8" s="1">
        <v>0.45</v>
      </c>
      <c r="J8">
        <v>39.799999999999997</v>
      </c>
      <c r="K8" t="str">
        <f t="shared" si="2"/>
        <v>-</v>
      </c>
      <c r="L8">
        <v>3.4000000000000002E-2</v>
      </c>
      <c r="M8">
        <v>28.3</v>
      </c>
      <c r="N8" t="str">
        <f t="shared" si="3"/>
        <v>-</v>
      </c>
      <c r="O8" s="1">
        <v>-0.01</v>
      </c>
      <c r="P8">
        <v>-0.7</v>
      </c>
      <c r="Q8" t="str">
        <f t="shared" si="4"/>
        <v>-</v>
      </c>
      <c r="R8">
        <v>-6.0999999999999999E-2</v>
      </c>
      <c r="S8">
        <v>-40.9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-0.1</v>
      </c>
      <c r="D9">
        <v>-6.9</v>
      </c>
      <c r="E9" t="str">
        <f t="shared" si="0"/>
        <v>-</v>
      </c>
      <c r="F9">
        <v>-6.0000000000000001E-3</v>
      </c>
      <c r="G9">
        <v>-5</v>
      </c>
      <c r="H9" t="str">
        <f t="shared" si="1"/>
        <v>-</v>
      </c>
      <c r="I9" s="1">
        <v>-0.09</v>
      </c>
      <c r="J9">
        <v>-6.8</v>
      </c>
      <c r="K9" t="str">
        <f t="shared" si="2"/>
        <v>-</v>
      </c>
      <c r="L9">
        <v>-5.0000000000000001E-3</v>
      </c>
      <c r="M9">
        <v>-4.4000000000000004</v>
      </c>
      <c r="N9" t="str">
        <f t="shared" si="3"/>
        <v>-</v>
      </c>
      <c r="O9" s="1">
        <v>-0.24</v>
      </c>
      <c r="P9">
        <v>-17.600000000000001</v>
      </c>
      <c r="Q9" t="str">
        <f t="shared" si="4"/>
        <v>-</v>
      </c>
      <c r="R9">
        <v>-1.9E-2</v>
      </c>
      <c r="S9">
        <v>-16.5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-0.21</v>
      </c>
      <c r="D10">
        <v>-16.5</v>
      </c>
      <c r="E10" t="str">
        <f t="shared" si="0"/>
        <v>-</v>
      </c>
      <c r="F10">
        <v>-8.9999999999999993E-3</v>
      </c>
      <c r="G10">
        <v>-9.3000000000000007</v>
      </c>
      <c r="H10" t="str">
        <f t="shared" si="1"/>
        <v>-</v>
      </c>
      <c r="I10" s="1">
        <v>-0.2</v>
      </c>
      <c r="J10">
        <v>-16.899999999999999</v>
      </c>
      <c r="K10" t="str">
        <f t="shared" si="2"/>
        <v>-</v>
      </c>
      <c r="L10">
        <v>-4.2000000000000003E-2</v>
      </c>
      <c r="M10">
        <v>-40</v>
      </c>
      <c r="N10" t="str">
        <f t="shared" si="3"/>
        <v>-</v>
      </c>
      <c r="O10" s="1">
        <v>-0.28999999999999998</v>
      </c>
      <c r="P10">
        <v>-22.3</v>
      </c>
      <c r="Q10" t="str">
        <f t="shared" si="4"/>
        <v>-</v>
      </c>
      <c r="R10">
        <v>-2.9000000000000001E-2</v>
      </c>
      <c r="S10">
        <v>-27.4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0.45</v>
      </c>
      <c r="D11">
        <v>14.7</v>
      </c>
      <c r="E11" t="str">
        <f t="shared" si="0"/>
        <v>-</v>
      </c>
      <c r="F11">
        <v>-1.0999999999999999E-2</v>
      </c>
      <c r="G11">
        <v>-4.7</v>
      </c>
      <c r="H11" t="str">
        <f t="shared" si="1"/>
        <v>-</v>
      </c>
      <c r="I11" s="1">
        <v>-0.66</v>
      </c>
      <c r="J11">
        <v>-17.399999999999999</v>
      </c>
      <c r="K11" t="str">
        <f t="shared" si="2"/>
        <v>-</v>
      </c>
      <c r="L11">
        <v>-7.5999999999999998E-2</v>
      </c>
      <c r="M11">
        <v>-32.200000000000003</v>
      </c>
      <c r="N11" t="str">
        <f t="shared" si="3"/>
        <v>-</v>
      </c>
      <c r="O11" s="1">
        <v>-0.66</v>
      </c>
      <c r="P11">
        <v>-17.600000000000001</v>
      </c>
      <c r="Q11" t="str">
        <f t="shared" si="4"/>
        <v>-</v>
      </c>
      <c r="R11">
        <v>-7.9000000000000001E-2</v>
      </c>
      <c r="S11">
        <v>-33.1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-0.16</v>
      </c>
      <c r="D12">
        <v>-14.7</v>
      </c>
      <c r="E12" t="str">
        <f t="shared" si="0"/>
        <v>-</v>
      </c>
      <c r="F12">
        <v>-1.0999999999999999E-2</v>
      </c>
      <c r="G12">
        <v>-11</v>
      </c>
      <c r="H12" t="str">
        <f t="shared" si="1"/>
        <v>-</v>
      </c>
      <c r="I12" s="1">
        <v>0.33</v>
      </c>
      <c r="J12">
        <v>44.6</v>
      </c>
      <c r="K12" t="str">
        <f t="shared" si="2"/>
        <v>-</v>
      </c>
      <c r="L12">
        <v>3.5999999999999997E-2</v>
      </c>
      <c r="M12">
        <v>38.700000000000003</v>
      </c>
      <c r="N12" t="str">
        <f t="shared" si="3"/>
        <v>-</v>
      </c>
      <c r="O12" s="1">
        <v>-0.12</v>
      </c>
      <c r="P12">
        <v>-11.9</v>
      </c>
      <c r="Q12" t="str">
        <f t="shared" si="4"/>
        <v>-</v>
      </c>
      <c r="R12">
        <v>-3.0000000000000001E-3</v>
      </c>
      <c r="S12">
        <v>-3.3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-0.21</v>
      </c>
      <c r="D13">
        <v>-15.3</v>
      </c>
      <c r="E13" t="str">
        <f t="shared" si="0"/>
        <v>-</v>
      </c>
      <c r="F13">
        <v>-2.8000000000000001E-2</v>
      </c>
      <c r="G13">
        <v>-19.399999999999999</v>
      </c>
      <c r="H13" t="str">
        <f t="shared" si="1"/>
        <v>-</v>
      </c>
      <c r="I13" s="1">
        <v>-0.18</v>
      </c>
      <c r="J13">
        <v>-14.1</v>
      </c>
      <c r="K13" t="str">
        <f t="shared" si="2"/>
        <v>-</v>
      </c>
      <c r="L13">
        <v>-2.1000000000000001E-2</v>
      </c>
      <c r="M13">
        <v>-17.2</v>
      </c>
      <c r="N13" t="str">
        <f t="shared" si="3"/>
        <v>-</v>
      </c>
      <c r="O13" s="1">
        <v>-0.14000000000000001</v>
      </c>
      <c r="P13">
        <v>-11.2</v>
      </c>
      <c r="Q13" t="str">
        <f t="shared" si="4"/>
        <v>-</v>
      </c>
      <c r="R13">
        <v>-2.8000000000000001E-2</v>
      </c>
      <c r="S13">
        <v>-22.2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-0.16</v>
      </c>
      <c r="D14">
        <v>-13.2</v>
      </c>
      <c r="E14" t="str">
        <f t="shared" si="0"/>
        <v>-</v>
      </c>
      <c r="F14">
        <v>-2.5000000000000001E-2</v>
      </c>
      <c r="G14">
        <v>-24.3</v>
      </c>
      <c r="H14" t="str">
        <f t="shared" si="1"/>
        <v>-</v>
      </c>
      <c r="I14" s="1">
        <v>-0.13</v>
      </c>
      <c r="J14">
        <v>-12.4</v>
      </c>
      <c r="K14" t="str">
        <f t="shared" si="2"/>
        <v>-</v>
      </c>
      <c r="L14">
        <v>-7.0000000000000001E-3</v>
      </c>
      <c r="M14">
        <v>-8.4</v>
      </c>
      <c r="N14" t="str">
        <f t="shared" si="3"/>
        <v>-</v>
      </c>
      <c r="O14" s="1">
        <v>-0.21</v>
      </c>
      <c r="P14">
        <v>-17.600000000000001</v>
      </c>
      <c r="Q14" t="str">
        <f t="shared" si="4"/>
        <v>-</v>
      </c>
      <c r="R14">
        <v>-1.6E-2</v>
      </c>
      <c r="S14">
        <v>-16.7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-0.04</v>
      </c>
      <c r="D15">
        <v>-1.1000000000000001</v>
      </c>
      <c r="E15" t="str">
        <f t="shared" si="0"/>
        <v>-</v>
      </c>
      <c r="F15">
        <v>-2.3E-2</v>
      </c>
      <c r="G15">
        <v>-9.4</v>
      </c>
      <c r="H15" t="str">
        <f t="shared" si="1"/>
        <v>-</v>
      </c>
      <c r="I15" s="1">
        <v>0.09</v>
      </c>
      <c r="J15">
        <v>3.1</v>
      </c>
      <c r="K15" t="str">
        <f t="shared" si="2"/>
        <v>-</v>
      </c>
      <c r="L15">
        <v>-4.9000000000000002E-2</v>
      </c>
      <c r="M15">
        <v>-23.3</v>
      </c>
      <c r="N15" t="str">
        <f t="shared" si="3"/>
        <v>-</v>
      </c>
      <c r="O15" s="1">
        <v>-7.0000000000000007E-2</v>
      </c>
      <c r="P15">
        <v>-2.4</v>
      </c>
      <c r="Q15" t="str">
        <f t="shared" si="4"/>
        <v>-</v>
      </c>
      <c r="R15">
        <v>-5.6000000000000001E-2</v>
      </c>
      <c r="S15">
        <v>-26.7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0.27</v>
      </c>
      <c r="D16">
        <v>32.5</v>
      </c>
      <c r="E16" t="str">
        <f t="shared" si="0"/>
        <v>-</v>
      </c>
      <c r="F16">
        <v>-3.0000000000000001E-3</v>
      </c>
      <c r="G16">
        <v>-2.6</v>
      </c>
      <c r="H16" t="str">
        <f t="shared" si="1"/>
        <v>-</v>
      </c>
      <c r="I16" s="1">
        <v>0.28000000000000003</v>
      </c>
      <c r="J16">
        <v>35.4</v>
      </c>
      <c r="K16" t="str">
        <f t="shared" si="2"/>
        <v>-</v>
      </c>
      <c r="L16">
        <v>-1.2999999999999999E-2</v>
      </c>
      <c r="M16">
        <v>-11.3</v>
      </c>
      <c r="N16" t="str">
        <f t="shared" si="3"/>
        <v>-</v>
      </c>
      <c r="O16" s="1">
        <v>0.27</v>
      </c>
      <c r="P16">
        <v>35.1</v>
      </c>
      <c r="Q16" t="str">
        <f t="shared" si="4"/>
        <v>-</v>
      </c>
      <c r="R16">
        <v>6.5000000000000002E-2</v>
      </c>
      <c r="S16">
        <v>84.4</v>
      </c>
      <c r="T16" s="2" t="str">
        <f t="shared" si="5"/>
        <v>?</v>
      </c>
    </row>
    <row r="17" spans="1:20">
      <c r="A17" s="11" t="s">
        <v>9</v>
      </c>
      <c r="B17" s="12" t="s">
        <v>16</v>
      </c>
      <c r="C17">
        <v>0</v>
      </c>
      <c r="D17">
        <v>0</v>
      </c>
      <c r="E17" t="str">
        <f t="shared" si="0"/>
        <v>-</v>
      </c>
      <c r="F17">
        <v>-2.5000000000000001E-2</v>
      </c>
      <c r="G17">
        <v>-19.399999999999999</v>
      </c>
      <c r="H17" t="str">
        <f t="shared" si="1"/>
        <v>-</v>
      </c>
      <c r="I17" s="1">
        <v>-0.04</v>
      </c>
      <c r="J17">
        <v>-3.6</v>
      </c>
      <c r="K17" t="str">
        <f t="shared" si="2"/>
        <v>-</v>
      </c>
      <c r="L17">
        <v>-3.2000000000000001E-2</v>
      </c>
      <c r="M17">
        <v>-26.9</v>
      </c>
      <c r="N17" t="str">
        <f t="shared" si="3"/>
        <v>-</v>
      </c>
      <c r="O17" s="1">
        <v>-0.1</v>
      </c>
      <c r="P17">
        <v>-8.6</v>
      </c>
      <c r="Q17" t="str">
        <f t="shared" si="4"/>
        <v>-</v>
      </c>
      <c r="R17">
        <v>-2.4E-2</v>
      </c>
      <c r="S17">
        <v>-20.9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-0.16</v>
      </c>
      <c r="D18">
        <v>-14.2</v>
      </c>
      <c r="E18" t="str">
        <f t="shared" si="0"/>
        <v>-</v>
      </c>
      <c r="F18">
        <v>-4.0000000000000001E-3</v>
      </c>
      <c r="G18">
        <v>-4.0999999999999996</v>
      </c>
      <c r="H18" t="str">
        <f t="shared" si="1"/>
        <v>-</v>
      </c>
      <c r="I18" s="1">
        <v>0.01</v>
      </c>
      <c r="J18">
        <v>1.1000000000000001</v>
      </c>
      <c r="K18" t="str">
        <f t="shared" si="2"/>
        <v>-</v>
      </c>
      <c r="L18">
        <v>1.4999999999999999E-2</v>
      </c>
      <c r="M18">
        <v>21.4</v>
      </c>
      <c r="N18" t="str">
        <f t="shared" si="3"/>
        <v>-</v>
      </c>
      <c r="O18" s="1">
        <v>0.04</v>
      </c>
      <c r="P18">
        <v>4.5</v>
      </c>
      <c r="Q18" t="str">
        <f t="shared" si="4"/>
        <v>-</v>
      </c>
      <c r="R18">
        <v>1.4999999999999999E-2</v>
      </c>
      <c r="S18">
        <v>23.4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0.76</v>
      </c>
      <c r="D19">
        <v>27.2</v>
      </c>
      <c r="E19" t="str">
        <f t="shared" si="0"/>
        <v>-</v>
      </c>
      <c r="F19">
        <v>2.7E-2</v>
      </c>
      <c r="G19">
        <v>14.1</v>
      </c>
      <c r="H19" t="str">
        <f t="shared" si="1"/>
        <v>-</v>
      </c>
      <c r="I19" s="1">
        <v>-0.17</v>
      </c>
      <c r="J19">
        <v>-6.2</v>
      </c>
      <c r="K19" t="str">
        <f t="shared" si="2"/>
        <v>-</v>
      </c>
      <c r="L19">
        <v>-1.4999999999999999E-2</v>
      </c>
      <c r="M19">
        <v>-9.1</v>
      </c>
      <c r="N19" t="str">
        <f t="shared" si="3"/>
        <v>-</v>
      </c>
      <c r="O19" s="1">
        <v>0.43</v>
      </c>
      <c r="P19">
        <v>18</v>
      </c>
      <c r="Q19" t="str">
        <f t="shared" si="4"/>
        <v>-</v>
      </c>
      <c r="R19">
        <v>-8.0000000000000002E-3</v>
      </c>
      <c r="S19">
        <v>-4.9000000000000004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-0.23</v>
      </c>
      <c r="D20">
        <v>-28.4</v>
      </c>
      <c r="E20" t="str">
        <f t="shared" si="0"/>
        <v>-</v>
      </c>
      <c r="F20">
        <v>-2.4E-2</v>
      </c>
      <c r="G20">
        <v>-25.3</v>
      </c>
      <c r="H20" t="str">
        <f t="shared" si="1"/>
        <v>-</v>
      </c>
      <c r="I20" s="1">
        <v>0.18</v>
      </c>
      <c r="J20">
        <v>26.1</v>
      </c>
      <c r="K20" t="str">
        <f t="shared" si="2"/>
        <v>-</v>
      </c>
      <c r="L20">
        <v>1.9E-2</v>
      </c>
      <c r="M20">
        <v>20</v>
      </c>
      <c r="N20" t="str">
        <f t="shared" si="3"/>
        <v>-</v>
      </c>
      <c r="O20" s="1">
        <v>-0.16</v>
      </c>
      <c r="P20">
        <v>-22.5</v>
      </c>
      <c r="Q20" t="str">
        <f t="shared" si="4"/>
        <v>-</v>
      </c>
      <c r="R20">
        <v>-4.1000000000000002E-2</v>
      </c>
      <c r="S20">
        <v>-42.3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0.09</v>
      </c>
      <c r="D21">
        <v>7.8</v>
      </c>
      <c r="E21" t="str">
        <f t="shared" si="0"/>
        <v>-</v>
      </c>
      <c r="F21">
        <v>-8.0000000000000002E-3</v>
      </c>
      <c r="G21">
        <v>-7.1</v>
      </c>
      <c r="H21" t="str">
        <f t="shared" si="1"/>
        <v>-</v>
      </c>
      <c r="I21" s="1">
        <v>0.05</v>
      </c>
      <c r="J21">
        <v>4.8</v>
      </c>
      <c r="K21" t="str">
        <f t="shared" si="2"/>
        <v>-</v>
      </c>
      <c r="L21">
        <v>0</v>
      </c>
      <c r="M21">
        <v>0</v>
      </c>
      <c r="N21" t="str">
        <f t="shared" si="3"/>
        <v>-</v>
      </c>
      <c r="O21" s="1">
        <v>0.04</v>
      </c>
      <c r="P21">
        <v>3.7</v>
      </c>
      <c r="Q21" t="str">
        <f t="shared" si="4"/>
        <v>-</v>
      </c>
      <c r="R21">
        <v>-1.2E-2</v>
      </c>
      <c r="S21">
        <v>-11.7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0.02</v>
      </c>
      <c r="D22">
        <v>2.1</v>
      </c>
      <c r="E22" t="str">
        <f t="shared" si="0"/>
        <v>-</v>
      </c>
      <c r="F22">
        <v>-3.7999999999999999E-2</v>
      </c>
      <c r="G22">
        <v>-32.5</v>
      </c>
      <c r="H22" t="str">
        <f t="shared" si="1"/>
        <v>-</v>
      </c>
      <c r="I22" s="1">
        <v>-0.15</v>
      </c>
      <c r="J22">
        <v>-14.2</v>
      </c>
      <c r="K22" t="str">
        <f t="shared" si="2"/>
        <v>-</v>
      </c>
      <c r="L22">
        <v>-8.9999999999999993E-3</v>
      </c>
      <c r="M22">
        <v>-10.1</v>
      </c>
      <c r="N22" t="str">
        <f t="shared" si="3"/>
        <v>-</v>
      </c>
      <c r="O22" s="1">
        <v>-0.14000000000000001</v>
      </c>
      <c r="P22">
        <v>-13.3</v>
      </c>
      <c r="Q22" t="str">
        <f t="shared" si="4"/>
        <v>-</v>
      </c>
      <c r="R22">
        <v>-2.5000000000000001E-2</v>
      </c>
      <c r="S22">
        <v>-23.8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0.31</v>
      </c>
      <c r="D23">
        <v>9.5</v>
      </c>
      <c r="E23" t="str">
        <f t="shared" si="0"/>
        <v>-</v>
      </c>
      <c r="F23">
        <v>1.4E-2</v>
      </c>
      <c r="G23">
        <v>6.8</v>
      </c>
      <c r="H23" t="str">
        <f t="shared" si="1"/>
        <v>-</v>
      </c>
      <c r="I23" s="1">
        <v>0.27</v>
      </c>
      <c r="J23">
        <v>9.1999999999999993</v>
      </c>
      <c r="K23" t="str">
        <f t="shared" si="2"/>
        <v>-</v>
      </c>
      <c r="L23">
        <v>-1.9E-2</v>
      </c>
      <c r="M23">
        <v>-10.3</v>
      </c>
      <c r="N23" t="str">
        <f t="shared" si="3"/>
        <v>-</v>
      </c>
      <c r="O23" s="1">
        <v>0.16</v>
      </c>
      <c r="P23">
        <v>5.5</v>
      </c>
      <c r="Q23" t="str">
        <f t="shared" si="4"/>
        <v>-</v>
      </c>
      <c r="R23">
        <v>-2.3E-2</v>
      </c>
      <c r="S23">
        <v>-12.2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0.15</v>
      </c>
      <c r="D24">
        <v>22.1</v>
      </c>
      <c r="E24" t="str">
        <f t="shared" si="0"/>
        <v>-</v>
      </c>
      <c r="F24">
        <v>2.1999999999999999E-2</v>
      </c>
      <c r="G24">
        <v>33.299999999999997</v>
      </c>
      <c r="H24" t="str">
        <f t="shared" si="1"/>
        <v>-</v>
      </c>
      <c r="I24" s="1">
        <v>0.04</v>
      </c>
      <c r="J24">
        <v>5.3</v>
      </c>
      <c r="K24" t="str">
        <f t="shared" si="2"/>
        <v>-</v>
      </c>
      <c r="L24">
        <v>-1.7999999999999999E-2</v>
      </c>
      <c r="M24">
        <v>-18.2</v>
      </c>
      <c r="N24" t="str">
        <f t="shared" si="3"/>
        <v>-</v>
      </c>
      <c r="O24" s="1">
        <v>0.19</v>
      </c>
      <c r="P24">
        <v>28.8</v>
      </c>
      <c r="Q24" t="str">
        <f t="shared" si="4"/>
        <v>-</v>
      </c>
      <c r="R24">
        <v>5.0000000000000001E-3</v>
      </c>
      <c r="S24">
        <v>6.2</v>
      </c>
      <c r="T24" s="2" t="str">
        <f t="shared" si="5"/>
        <v>-</v>
      </c>
    </row>
    <row r="25" spans="1:20">
      <c r="A25" s="11" t="s">
        <v>9</v>
      </c>
      <c r="B25" s="12" t="s">
        <v>18</v>
      </c>
      <c r="C25">
        <v>-0.35</v>
      </c>
      <c r="D25">
        <v>-20.3</v>
      </c>
      <c r="E25" t="str">
        <f t="shared" si="0"/>
        <v>-</v>
      </c>
      <c r="F25">
        <v>0</v>
      </c>
      <c r="G25">
        <v>0</v>
      </c>
      <c r="H25" t="str">
        <f t="shared" si="1"/>
        <v>-</v>
      </c>
      <c r="I25" s="1">
        <v>-0.3</v>
      </c>
      <c r="J25">
        <v>-19.600000000000001</v>
      </c>
      <c r="K25" t="str">
        <f t="shared" si="2"/>
        <v>-</v>
      </c>
      <c r="L25">
        <v>-1E-3</v>
      </c>
      <c r="M25">
        <v>-0.9</v>
      </c>
      <c r="N25" t="str">
        <f t="shared" si="3"/>
        <v>-</v>
      </c>
      <c r="O25" s="1">
        <v>-0.57999999999999996</v>
      </c>
      <c r="P25">
        <v>-34.700000000000003</v>
      </c>
      <c r="Q25" t="str">
        <f t="shared" si="4"/>
        <v>-</v>
      </c>
      <c r="R25">
        <v>-2.3E-2</v>
      </c>
      <c r="S25">
        <v>-20.2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0.08</v>
      </c>
      <c r="D26">
        <v>6.4</v>
      </c>
      <c r="E26" t="str">
        <f t="shared" si="0"/>
        <v>-</v>
      </c>
      <c r="F26">
        <v>1.7000000000000001E-2</v>
      </c>
      <c r="G26">
        <v>15.9</v>
      </c>
      <c r="H26" t="str">
        <f t="shared" si="1"/>
        <v>-</v>
      </c>
      <c r="I26" s="1">
        <v>-0.03</v>
      </c>
      <c r="J26">
        <v>-2.2999999999999998</v>
      </c>
      <c r="K26" t="str">
        <f t="shared" si="2"/>
        <v>-</v>
      </c>
      <c r="L26">
        <v>0</v>
      </c>
      <c r="M26">
        <v>0</v>
      </c>
      <c r="N26" t="str">
        <f t="shared" si="3"/>
        <v>-</v>
      </c>
      <c r="O26" s="1">
        <v>0.11</v>
      </c>
      <c r="P26">
        <v>8.8000000000000007</v>
      </c>
      <c r="Q26" t="str">
        <f t="shared" si="4"/>
        <v>-</v>
      </c>
      <c r="R26">
        <v>1.4999999999999999E-2</v>
      </c>
      <c r="S26">
        <v>13.9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1.0900000000000001</v>
      </c>
      <c r="D27">
        <v>36.9</v>
      </c>
      <c r="E27" t="str">
        <f t="shared" si="0"/>
        <v>-</v>
      </c>
      <c r="F27">
        <v>6.3E-2</v>
      </c>
      <c r="G27">
        <v>40.1</v>
      </c>
      <c r="H27" t="str">
        <f t="shared" si="1"/>
        <v>-</v>
      </c>
      <c r="I27" s="1">
        <v>-0.56999999999999995</v>
      </c>
      <c r="J27">
        <v>-17.3</v>
      </c>
      <c r="K27" t="str">
        <f t="shared" si="2"/>
        <v>-</v>
      </c>
      <c r="L27">
        <v>-4.0000000000000001E-3</v>
      </c>
      <c r="M27">
        <v>-2.7</v>
      </c>
      <c r="N27" t="str">
        <f t="shared" si="3"/>
        <v>-</v>
      </c>
      <c r="O27" s="1">
        <v>-0.56000000000000005</v>
      </c>
      <c r="P27">
        <v>-15.6</v>
      </c>
      <c r="Q27" t="str">
        <f t="shared" si="4"/>
        <v>-</v>
      </c>
      <c r="R27">
        <v>1.6E-2</v>
      </c>
      <c r="S27">
        <v>11.4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0.13</v>
      </c>
      <c r="D28">
        <v>17.8</v>
      </c>
      <c r="E28" t="str">
        <f t="shared" si="0"/>
        <v>-</v>
      </c>
      <c r="F28">
        <v>-1E-3</v>
      </c>
      <c r="G28">
        <v>-1.2</v>
      </c>
      <c r="H28" t="str">
        <f t="shared" si="1"/>
        <v>-</v>
      </c>
      <c r="I28" s="1">
        <v>0.08</v>
      </c>
      <c r="J28">
        <v>11.3</v>
      </c>
      <c r="K28" t="str">
        <f t="shared" si="2"/>
        <v>-</v>
      </c>
      <c r="L28">
        <v>4.0000000000000001E-3</v>
      </c>
      <c r="M28">
        <v>5.3</v>
      </c>
      <c r="N28" t="str">
        <f t="shared" si="3"/>
        <v>-</v>
      </c>
      <c r="O28" s="1">
        <v>0.13</v>
      </c>
      <c r="P28">
        <v>17.3</v>
      </c>
      <c r="Q28" t="str">
        <f t="shared" si="4"/>
        <v>-</v>
      </c>
      <c r="R28">
        <v>-2.1000000000000001E-2</v>
      </c>
      <c r="S28">
        <v>-23.3</v>
      </c>
      <c r="T28" s="2" t="str">
        <f t="shared" si="5"/>
        <v>-</v>
      </c>
    </row>
    <row r="29" spans="1:20">
      <c r="A29" s="11" t="s">
        <v>9</v>
      </c>
      <c r="B29" s="13">
        <v>0.4</v>
      </c>
      <c r="C29">
        <v>-0.04</v>
      </c>
      <c r="D29">
        <v>-3.5</v>
      </c>
      <c r="E29" t="str">
        <f t="shared" si="0"/>
        <v>-</v>
      </c>
      <c r="F29">
        <v>-3.0000000000000001E-3</v>
      </c>
      <c r="G29">
        <v>-2.9</v>
      </c>
      <c r="H29" t="str">
        <f t="shared" si="1"/>
        <v>-</v>
      </c>
      <c r="I29" s="1">
        <v>-0.05</v>
      </c>
      <c r="J29">
        <v>-4.7</v>
      </c>
      <c r="K29" t="str">
        <f t="shared" si="2"/>
        <v>-</v>
      </c>
      <c r="L29">
        <v>-5.0000000000000001E-3</v>
      </c>
      <c r="M29">
        <v>-5.6</v>
      </c>
      <c r="N29" t="str">
        <f t="shared" si="3"/>
        <v>-</v>
      </c>
      <c r="O29" s="1">
        <v>0.09</v>
      </c>
      <c r="P29">
        <v>9.8000000000000007</v>
      </c>
      <c r="Q29" t="str">
        <f t="shared" si="4"/>
        <v>-</v>
      </c>
      <c r="R29">
        <v>-4.0000000000000001E-3</v>
      </c>
      <c r="S29">
        <v>-4.3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-0.08</v>
      </c>
      <c r="D30">
        <v>-6.9</v>
      </c>
      <c r="E30" t="str">
        <f t="shared" si="0"/>
        <v>-</v>
      </c>
      <c r="F30">
        <v>-1.7000000000000001E-2</v>
      </c>
      <c r="G30">
        <v>-13.6</v>
      </c>
      <c r="H30" t="str">
        <f t="shared" si="1"/>
        <v>-</v>
      </c>
      <c r="I30" s="1">
        <v>7.0000000000000007E-2</v>
      </c>
      <c r="J30">
        <v>7.2</v>
      </c>
      <c r="K30" t="str">
        <f t="shared" si="2"/>
        <v>-</v>
      </c>
      <c r="L30">
        <v>1E-3</v>
      </c>
      <c r="M30">
        <v>1.1000000000000001</v>
      </c>
      <c r="N30" t="str">
        <f t="shared" si="3"/>
        <v>-</v>
      </c>
      <c r="O30" s="1">
        <v>-0.2</v>
      </c>
      <c r="P30">
        <v>-18.3</v>
      </c>
      <c r="Q30" t="str">
        <f t="shared" si="4"/>
        <v>-</v>
      </c>
      <c r="R30">
        <v>-1.7000000000000001E-2</v>
      </c>
      <c r="S30">
        <v>-16.3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1</v>
      </c>
      <c r="D31">
        <v>55.2</v>
      </c>
      <c r="E31" t="str">
        <f t="shared" si="0"/>
        <v>?</v>
      </c>
      <c r="F31">
        <v>2.1999999999999999E-2</v>
      </c>
      <c r="G31">
        <v>14.2</v>
      </c>
      <c r="H31" t="str">
        <f t="shared" si="1"/>
        <v>-</v>
      </c>
      <c r="I31" s="1">
        <v>0.54</v>
      </c>
      <c r="J31">
        <v>30.9</v>
      </c>
      <c r="K31" t="str">
        <f t="shared" si="2"/>
        <v>-</v>
      </c>
      <c r="L31">
        <v>1.4E-2</v>
      </c>
      <c r="M31">
        <v>11.6</v>
      </c>
      <c r="N31" t="str">
        <f t="shared" si="3"/>
        <v>-</v>
      </c>
      <c r="O31" s="1">
        <v>0.73</v>
      </c>
      <c r="P31">
        <v>51.8</v>
      </c>
      <c r="Q31" t="str">
        <f t="shared" si="4"/>
        <v>?</v>
      </c>
      <c r="R31">
        <v>2.7E-2</v>
      </c>
      <c r="S31">
        <v>25.2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-0.35</v>
      </c>
      <c r="D32">
        <v>-34.700000000000003</v>
      </c>
      <c r="E32" t="str">
        <f t="shared" si="0"/>
        <v>-</v>
      </c>
      <c r="F32">
        <v>-5.3999999999999999E-2</v>
      </c>
      <c r="G32">
        <v>-45.4</v>
      </c>
      <c r="H32" t="str">
        <f t="shared" si="1"/>
        <v>-</v>
      </c>
      <c r="I32" s="1">
        <v>-0.03</v>
      </c>
      <c r="J32">
        <v>-3.8</v>
      </c>
      <c r="K32" t="str">
        <f t="shared" si="2"/>
        <v>-</v>
      </c>
      <c r="L32">
        <v>-5.0000000000000001E-3</v>
      </c>
      <c r="M32">
        <v>-6.4</v>
      </c>
      <c r="N32" t="str">
        <f t="shared" si="3"/>
        <v>-</v>
      </c>
      <c r="O32" s="1">
        <v>-0.18</v>
      </c>
      <c r="P32">
        <v>-21.4</v>
      </c>
      <c r="Q32" t="str">
        <f t="shared" si="4"/>
        <v>-</v>
      </c>
      <c r="R32">
        <v>3.0000000000000001E-3</v>
      </c>
      <c r="S32">
        <v>4.0999999999999996</v>
      </c>
      <c r="T32" s="2" t="str">
        <f t="shared" si="5"/>
        <v>-</v>
      </c>
    </row>
    <row r="33" spans="1:20">
      <c r="A33" s="11" t="s">
        <v>9</v>
      </c>
      <c r="B33" s="13">
        <v>0.5</v>
      </c>
      <c r="C33">
        <v>0.02</v>
      </c>
      <c r="D33">
        <v>1.8</v>
      </c>
      <c r="E33" t="str">
        <f t="shared" si="0"/>
        <v>-</v>
      </c>
      <c r="F33">
        <v>4.0000000000000001E-3</v>
      </c>
      <c r="G33">
        <v>3.8</v>
      </c>
      <c r="H33" t="str">
        <f t="shared" si="1"/>
        <v>-</v>
      </c>
      <c r="I33" s="1">
        <v>-0.17</v>
      </c>
      <c r="J33">
        <v>-14.8</v>
      </c>
      <c r="K33" t="str">
        <f t="shared" si="2"/>
        <v>-</v>
      </c>
      <c r="L33">
        <v>-1.4999999999999999E-2</v>
      </c>
      <c r="M33">
        <v>-15</v>
      </c>
      <c r="N33" t="str">
        <f t="shared" si="3"/>
        <v>-</v>
      </c>
      <c r="O33" s="1">
        <v>-0.11</v>
      </c>
      <c r="P33">
        <v>-10.4</v>
      </c>
      <c r="Q33" t="str">
        <f t="shared" si="4"/>
        <v>-</v>
      </c>
      <c r="R33">
        <v>-2.5999999999999999E-2</v>
      </c>
      <c r="S33">
        <v>-25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-0.09</v>
      </c>
      <c r="D34">
        <v>-9.3000000000000007</v>
      </c>
      <c r="E34" t="str">
        <f t="shared" si="0"/>
        <v>-</v>
      </c>
      <c r="F34">
        <v>-1.2E-2</v>
      </c>
      <c r="G34">
        <v>-12.2</v>
      </c>
      <c r="H34" t="str">
        <f t="shared" si="1"/>
        <v>-</v>
      </c>
      <c r="I34" s="1">
        <v>-0.1</v>
      </c>
      <c r="J34">
        <v>-10.6</v>
      </c>
      <c r="K34" t="str">
        <f t="shared" si="2"/>
        <v>-</v>
      </c>
      <c r="L34">
        <v>-2.1999999999999999E-2</v>
      </c>
      <c r="M34">
        <v>-24.7</v>
      </c>
      <c r="N34" t="str">
        <f t="shared" si="3"/>
        <v>-</v>
      </c>
      <c r="O34" s="1">
        <v>-0.03</v>
      </c>
      <c r="P34">
        <v>-3.6</v>
      </c>
      <c r="Q34" t="str">
        <f t="shared" si="4"/>
        <v>-</v>
      </c>
      <c r="R34">
        <v>-2.1000000000000001E-2</v>
      </c>
      <c r="S34">
        <v>-24.4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0.76</v>
      </c>
      <c r="D35">
        <v>31.3</v>
      </c>
      <c r="E35" t="str">
        <f t="shared" si="0"/>
        <v>-</v>
      </c>
      <c r="F35">
        <v>0.04</v>
      </c>
      <c r="G35">
        <v>28</v>
      </c>
      <c r="H35" t="str">
        <f t="shared" si="1"/>
        <v>-</v>
      </c>
      <c r="I35" s="1">
        <v>0.3</v>
      </c>
      <c r="J35">
        <v>13.2</v>
      </c>
      <c r="K35" t="str">
        <f t="shared" si="2"/>
        <v>-</v>
      </c>
      <c r="L35">
        <v>-0.01</v>
      </c>
      <c r="M35">
        <v>-6.8</v>
      </c>
      <c r="N35" t="str">
        <f t="shared" si="3"/>
        <v>-</v>
      </c>
      <c r="O35" s="1">
        <v>0.28000000000000003</v>
      </c>
      <c r="P35">
        <v>13.7</v>
      </c>
      <c r="Q35" t="str">
        <f t="shared" si="4"/>
        <v>-</v>
      </c>
      <c r="R35">
        <v>-1.6E-2</v>
      </c>
      <c r="S35">
        <v>-11.5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-0.27</v>
      </c>
      <c r="D36">
        <v>-26.7</v>
      </c>
      <c r="E36" t="str">
        <f t="shared" si="0"/>
        <v>-</v>
      </c>
      <c r="F36">
        <v>-2.1000000000000001E-2</v>
      </c>
      <c r="G36">
        <v>-19.600000000000001</v>
      </c>
      <c r="H36" t="str">
        <f t="shared" si="1"/>
        <v>-</v>
      </c>
      <c r="I36" s="1">
        <v>0.06</v>
      </c>
      <c r="J36">
        <v>9.1999999999999993</v>
      </c>
      <c r="K36" t="str">
        <f t="shared" si="2"/>
        <v>-</v>
      </c>
      <c r="L36">
        <v>8.0000000000000002E-3</v>
      </c>
      <c r="M36">
        <v>9.6</v>
      </c>
      <c r="N36" t="str">
        <f t="shared" si="3"/>
        <v>-</v>
      </c>
      <c r="O36" s="1">
        <v>-0.08</v>
      </c>
      <c r="P36">
        <v>-11.1</v>
      </c>
      <c r="Q36" t="str">
        <f t="shared" si="4"/>
        <v>-</v>
      </c>
      <c r="R36">
        <v>-1.4E-2</v>
      </c>
      <c r="S36">
        <v>-16.7</v>
      </c>
      <c r="T36" s="2" t="str">
        <f t="shared" si="5"/>
        <v>-</v>
      </c>
    </row>
    <row r="37" spans="1:20">
      <c r="A37" s="11" t="s">
        <v>9</v>
      </c>
      <c r="B37" s="13">
        <v>0.6</v>
      </c>
      <c r="C37">
        <v>0.09</v>
      </c>
      <c r="D37">
        <v>8.6999999999999993</v>
      </c>
      <c r="E37" t="str">
        <f t="shared" si="0"/>
        <v>-</v>
      </c>
      <c r="F37">
        <v>-2E-3</v>
      </c>
      <c r="G37">
        <v>-1.8</v>
      </c>
      <c r="H37" t="str">
        <f t="shared" si="1"/>
        <v>-</v>
      </c>
      <c r="I37" s="1">
        <v>0.06</v>
      </c>
      <c r="J37">
        <v>5.5</v>
      </c>
      <c r="K37" t="str">
        <f t="shared" si="2"/>
        <v>-</v>
      </c>
      <c r="L37">
        <v>-1E-3</v>
      </c>
      <c r="M37">
        <v>-1</v>
      </c>
      <c r="N37" t="str">
        <f t="shared" si="3"/>
        <v>-</v>
      </c>
      <c r="O37" s="1">
        <v>0</v>
      </c>
      <c r="P37">
        <v>0</v>
      </c>
      <c r="Q37" t="str">
        <f t="shared" si="4"/>
        <v>-</v>
      </c>
      <c r="R37">
        <v>-2.1999999999999999E-2</v>
      </c>
      <c r="S37">
        <v>-19.8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-0.11</v>
      </c>
      <c r="D38">
        <v>-10.7</v>
      </c>
      <c r="E38" t="str">
        <f t="shared" si="0"/>
        <v>-</v>
      </c>
      <c r="F38">
        <v>8.9999999999999993E-3</v>
      </c>
      <c r="G38">
        <v>10.1</v>
      </c>
      <c r="H38" t="str">
        <f t="shared" si="1"/>
        <v>-</v>
      </c>
      <c r="I38" s="1">
        <v>0.03</v>
      </c>
      <c r="J38">
        <v>3.6</v>
      </c>
      <c r="K38" t="str">
        <f t="shared" si="2"/>
        <v>-</v>
      </c>
      <c r="L38">
        <v>7.0000000000000001E-3</v>
      </c>
      <c r="M38">
        <v>8.9</v>
      </c>
      <c r="N38" t="str">
        <f t="shared" si="3"/>
        <v>-</v>
      </c>
      <c r="O38" s="1">
        <v>0.04</v>
      </c>
      <c r="P38">
        <v>4.7</v>
      </c>
      <c r="Q38" t="str">
        <f t="shared" si="4"/>
        <v>-</v>
      </c>
      <c r="R38">
        <v>-4.0000000000000001E-3</v>
      </c>
      <c r="S38">
        <v>-4.8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0.24</v>
      </c>
      <c r="D39">
        <v>8</v>
      </c>
      <c r="E39" t="str">
        <f t="shared" si="0"/>
        <v>-</v>
      </c>
      <c r="F39">
        <v>2.1000000000000001E-2</v>
      </c>
      <c r="G39">
        <v>11.1</v>
      </c>
      <c r="H39" t="str">
        <f t="shared" si="1"/>
        <v>-</v>
      </c>
      <c r="I39" s="1">
        <v>-0.17</v>
      </c>
      <c r="J39">
        <v>-6.3</v>
      </c>
      <c r="K39" t="str">
        <f t="shared" si="2"/>
        <v>-</v>
      </c>
      <c r="L39">
        <v>-2.7E-2</v>
      </c>
      <c r="M39">
        <v>-18</v>
      </c>
      <c r="N39" t="str">
        <f t="shared" si="3"/>
        <v>-</v>
      </c>
      <c r="O39" s="1">
        <v>0.03</v>
      </c>
      <c r="P39">
        <v>1.1000000000000001</v>
      </c>
      <c r="Q39" t="str">
        <f t="shared" si="4"/>
        <v>-</v>
      </c>
      <c r="R39">
        <v>-1.2999999999999999E-2</v>
      </c>
      <c r="S39">
        <v>-8.3000000000000007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-0.28000000000000003</v>
      </c>
      <c r="D40">
        <v>-30.8</v>
      </c>
      <c r="E40" t="str">
        <f t="shared" si="0"/>
        <v>-</v>
      </c>
      <c r="F40">
        <v>-3.4000000000000002E-2</v>
      </c>
      <c r="G40">
        <v>-28.8</v>
      </c>
      <c r="H40" t="str">
        <f t="shared" si="1"/>
        <v>-</v>
      </c>
      <c r="I40" s="1">
        <v>-0.04</v>
      </c>
      <c r="J40">
        <v>-5.3</v>
      </c>
      <c r="K40" t="str">
        <f t="shared" si="2"/>
        <v>-</v>
      </c>
      <c r="L40">
        <v>-4.8000000000000001E-2</v>
      </c>
      <c r="M40">
        <v>-40.700000000000003</v>
      </c>
      <c r="N40" t="str">
        <f t="shared" si="3"/>
        <v>-</v>
      </c>
      <c r="O40" s="1">
        <v>0.17</v>
      </c>
      <c r="P40">
        <v>25</v>
      </c>
      <c r="Q40" t="str">
        <f t="shared" si="4"/>
        <v>-</v>
      </c>
      <c r="R40">
        <v>3.1E-2</v>
      </c>
      <c r="S40">
        <v>55.4</v>
      </c>
      <c r="T40" s="2" t="str">
        <f t="shared" si="5"/>
        <v>?</v>
      </c>
    </row>
    <row r="41" spans="1:20">
      <c r="A41" s="11" t="s">
        <v>9</v>
      </c>
      <c r="B41" s="13">
        <v>0.7</v>
      </c>
      <c r="C41">
        <v>0.12</v>
      </c>
      <c r="D41">
        <v>10.199999999999999</v>
      </c>
      <c r="E41" t="str">
        <f t="shared" si="0"/>
        <v>-</v>
      </c>
      <c r="F41">
        <v>4.0000000000000001E-3</v>
      </c>
      <c r="G41">
        <v>3.5</v>
      </c>
      <c r="H41" t="str">
        <f t="shared" si="1"/>
        <v>-</v>
      </c>
      <c r="I41" s="1">
        <v>0</v>
      </c>
      <c r="J41">
        <v>0</v>
      </c>
      <c r="K41" t="str">
        <f t="shared" si="2"/>
        <v>-</v>
      </c>
      <c r="L41">
        <v>-1.0999999999999999E-2</v>
      </c>
      <c r="M41">
        <v>-9.4</v>
      </c>
      <c r="N41" t="str">
        <f t="shared" si="3"/>
        <v>-</v>
      </c>
      <c r="O41" s="1">
        <v>-0.09</v>
      </c>
      <c r="P41">
        <v>-7.3</v>
      </c>
      <c r="Q41" t="str">
        <f t="shared" si="4"/>
        <v>-</v>
      </c>
      <c r="R41">
        <v>-0.03</v>
      </c>
      <c r="S41">
        <v>-24.2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0.01</v>
      </c>
      <c r="D42">
        <v>1</v>
      </c>
      <c r="E42" t="str">
        <f t="shared" si="0"/>
        <v>-</v>
      </c>
      <c r="F42">
        <v>-8.9999999999999993E-3</v>
      </c>
      <c r="G42">
        <v>-9.6999999999999993</v>
      </c>
      <c r="H42" t="str">
        <f t="shared" si="1"/>
        <v>-</v>
      </c>
      <c r="I42" s="1">
        <v>0.2</v>
      </c>
      <c r="J42">
        <v>23.8</v>
      </c>
      <c r="K42" t="str">
        <f t="shared" si="2"/>
        <v>-</v>
      </c>
      <c r="L42">
        <v>-2E-3</v>
      </c>
      <c r="M42">
        <v>-2.5</v>
      </c>
      <c r="N42" t="str">
        <f t="shared" si="3"/>
        <v>-</v>
      </c>
      <c r="O42" s="1">
        <v>-0.09</v>
      </c>
      <c r="P42">
        <v>-8.5</v>
      </c>
      <c r="Q42" t="str">
        <f t="shared" si="4"/>
        <v>-</v>
      </c>
      <c r="R42">
        <v>-2.7E-2</v>
      </c>
      <c r="S42">
        <v>-30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0.03</v>
      </c>
      <c r="D43">
        <v>0.9</v>
      </c>
      <c r="E43" t="str">
        <f t="shared" si="0"/>
        <v>-</v>
      </c>
      <c r="F43">
        <v>-1E-3</v>
      </c>
      <c r="G43">
        <v>-0.5</v>
      </c>
      <c r="H43" t="str">
        <f t="shared" si="1"/>
        <v>-</v>
      </c>
      <c r="I43" s="1">
        <v>-0.93</v>
      </c>
      <c r="J43">
        <v>-25.4</v>
      </c>
      <c r="K43" t="str">
        <f t="shared" si="2"/>
        <v>-</v>
      </c>
      <c r="L43">
        <v>-5.8999999999999997E-2</v>
      </c>
      <c r="M43">
        <v>-27.3</v>
      </c>
      <c r="N43" t="str">
        <f t="shared" si="3"/>
        <v>-</v>
      </c>
      <c r="O43" s="1">
        <v>-0.68</v>
      </c>
      <c r="P43">
        <v>-18.399999999999999</v>
      </c>
      <c r="Q43" t="str">
        <f t="shared" si="4"/>
        <v>-</v>
      </c>
      <c r="R43">
        <v>-5.7000000000000002E-2</v>
      </c>
      <c r="S43">
        <v>-26.9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0.27</v>
      </c>
      <c r="D44">
        <v>38</v>
      </c>
      <c r="E44" t="str">
        <f t="shared" si="0"/>
        <v>-</v>
      </c>
      <c r="F44">
        <v>3.2000000000000001E-2</v>
      </c>
      <c r="G44">
        <v>41</v>
      </c>
      <c r="H44" t="str">
        <f t="shared" si="1"/>
        <v>-</v>
      </c>
      <c r="I44" s="1">
        <v>0.22</v>
      </c>
      <c r="J44">
        <v>32.799999999999997</v>
      </c>
      <c r="K44" t="str">
        <f t="shared" si="2"/>
        <v>-</v>
      </c>
      <c r="L44">
        <v>3.9E-2</v>
      </c>
      <c r="M44">
        <v>51.3</v>
      </c>
      <c r="N44" t="str">
        <f t="shared" si="3"/>
        <v>?</v>
      </c>
      <c r="O44" s="1">
        <v>0.12</v>
      </c>
      <c r="P44">
        <v>17.399999999999999</v>
      </c>
      <c r="Q44" t="str">
        <f t="shared" si="4"/>
        <v>-</v>
      </c>
      <c r="R44">
        <v>2.4E-2</v>
      </c>
      <c r="S44">
        <v>42.9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-0.44</v>
      </c>
      <c r="D45">
        <v>-23.5</v>
      </c>
      <c r="E45" t="str">
        <f t="shared" si="0"/>
        <v>-</v>
      </c>
      <c r="F45">
        <v>-3.4000000000000002E-2</v>
      </c>
      <c r="G45">
        <v>-22.5</v>
      </c>
      <c r="H45" t="str">
        <f t="shared" si="1"/>
        <v>-</v>
      </c>
      <c r="I45" s="1">
        <v>-1.7</v>
      </c>
      <c r="J45">
        <v>-55.9</v>
      </c>
      <c r="K45" t="str">
        <f t="shared" si="2"/>
        <v>?</v>
      </c>
      <c r="L45">
        <v>-4.2999999999999997E-2</v>
      </c>
      <c r="M45">
        <v>-27.2</v>
      </c>
      <c r="N45" t="str">
        <f t="shared" si="3"/>
        <v>-</v>
      </c>
      <c r="O45" s="1">
        <v>-2.0099999999999998</v>
      </c>
      <c r="P45">
        <v>-59.5</v>
      </c>
      <c r="Q45" t="str">
        <f t="shared" si="4"/>
        <v>?</v>
      </c>
      <c r="R45">
        <v>-4.2000000000000003E-2</v>
      </c>
      <c r="S45">
        <v>-27.3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-1.17</v>
      </c>
      <c r="D46">
        <v>-50.9</v>
      </c>
      <c r="E46" t="str">
        <f t="shared" si="0"/>
        <v>?</v>
      </c>
      <c r="F46">
        <v>-4.2000000000000003E-2</v>
      </c>
      <c r="G46">
        <v>-35.299999999999997</v>
      </c>
      <c r="H46" t="str">
        <f t="shared" si="1"/>
        <v>-</v>
      </c>
      <c r="I46" s="1">
        <v>-3.78</v>
      </c>
      <c r="J46">
        <v>-75.3</v>
      </c>
      <c r="K46" t="str">
        <f t="shared" si="2"/>
        <v>?</v>
      </c>
      <c r="L46">
        <v>-0.14099999999999999</v>
      </c>
      <c r="M46">
        <v>-65.900000000000006</v>
      </c>
      <c r="N46" t="str">
        <f t="shared" si="3"/>
        <v>?</v>
      </c>
      <c r="O46" s="1">
        <v>-4.25</v>
      </c>
      <c r="P46">
        <v>-78.7</v>
      </c>
      <c r="Q46" t="str">
        <f t="shared" si="4"/>
        <v>?</v>
      </c>
      <c r="R46">
        <v>-0.158</v>
      </c>
      <c r="S46">
        <v>-67.8</v>
      </c>
      <c r="T46" s="2" t="str">
        <f t="shared" si="5"/>
        <v>?</v>
      </c>
    </row>
    <row r="47" spans="1:20">
      <c r="A47" s="11" t="s">
        <v>12</v>
      </c>
      <c r="B47" s="13">
        <v>0.8</v>
      </c>
      <c r="C47">
        <v>-1.75</v>
      </c>
      <c r="D47">
        <v>-34.700000000000003</v>
      </c>
      <c r="E47" t="str">
        <f t="shared" si="0"/>
        <v>-</v>
      </c>
      <c r="F47">
        <v>-1.9E-2</v>
      </c>
      <c r="G47">
        <v>-8.1999999999999993</v>
      </c>
      <c r="H47" t="str">
        <f t="shared" si="1"/>
        <v>-</v>
      </c>
      <c r="I47" s="1">
        <v>-3.75</v>
      </c>
      <c r="J47">
        <v>-54.8</v>
      </c>
      <c r="K47" t="str">
        <f t="shared" si="2"/>
        <v>?</v>
      </c>
      <c r="L47">
        <v>-8.6999999999999994E-2</v>
      </c>
      <c r="M47">
        <v>-34.1</v>
      </c>
      <c r="N47" t="str">
        <f t="shared" si="3"/>
        <v>-</v>
      </c>
      <c r="O47" s="1">
        <v>-3.92</v>
      </c>
      <c r="P47">
        <v>-55.2</v>
      </c>
      <c r="Q47" t="str">
        <f t="shared" si="4"/>
        <v>?</v>
      </c>
      <c r="R47">
        <v>-9.2999999999999999E-2</v>
      </c>
      <c r="S47">
        <v>-36.799999999999997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-2.92</v>
      </c>
      <c r="D48">
        <v>-72.599999999999994</v>
      </c>
      <c r="E48" t="str">
        <f t="shared" si="0"/>
        <v>?</v>
      </c>
      <c r="F48">
        <v>5.8999999999999997E-2</v>
      </c>
      <c r="G48">
        <v>75.599999999999994</v>
      </c>
      <c r="H48" t="str">
        <f t="shared" si="1"/>
        <v>?</v>
      </c>
      <c r="I48" s="1">
        <v>-4.04</v>
      </c>
      <c r="J48">
        <v>-79.5</v>
      </c>
      <c r="K48" t="str">
        <f t="shared" si="2"/>
        <v>?</v>
      </c>
      <c r="L48">
        <v>2.8000000000000001E-2</v>
      </c>
      <c r="M48">
        <v>35.4</v>
      </c>
      <c r="N48" t="str">
        <f t="shared" si="3"/>
        <v>-</v>
      </c>
      <c r="O48" s="1">
        <v>-4.12</v>
      </c>
      <c r="P48">
        <v>-82.2</v>
      </c>
      <c r="Q48" t="str">
        <f t="shared" si="4"/>
        <v>?</v>
      </c>
      <c r="R48">
        <v>-1E-3</v>
      </c>
      <c r="S48">
        <v>-1.2</v>
      </c>
      <c r="T48" s="2" t="str">
        <f t="shared" si="5"/>
        <v>-</v>
      </c>
    </row>
    <row r="49" spans="1:20">
      <c r="A49" s="11" t="s">
        <v>9</v>
      </c>
      <c r="B49" s="13">
        <v>0.9</v>
      </c>
      <c r="C49">
        <v>-6.36</v>
      </c>
      <c r="D49">
        <v>-75.3</v>
      </c>
      <c r="E49" t="str">
        <f t="shared" si="0"/>
        <v>?</v>
      </c>
      <c r="F49">
        <v>-8.6999999999999994E-2</v>
      </c>
      <c r="G49">
        <v>-37.299999999999997</v>
      </c>
      <c r="H49" t="str">
        <f t="shared" si="1"/>
        <v>-</v>
      </c>
      <c r="I49" s="1">
        <v>-6.01</v>
      </c>
      <c r="J49">
        <v>-75.400000000000006</v>
      </c>
      <c r="K49" t="str">
        <f t="shared" si="2"/>
        <v>?</v>
      </c>
      <c r="L49">
        <v>-8.3000000000000004E-2</v>
      </c>
      <c r="M49">
        <v>-38.6</v>
      </c>
      <c r="N49" t="str">
        <f t="shared" si="3"/>
        <v>-</v>
      </c>
      <c r="O49" s="1">
        <v>-6.1</v>
      </c>
      <c r="P49">
        <v>-76.099999999999994</v>
      </c>
      <c r="Q49" t="str">
        <f t="shared" si="4"/>
        <v>?</v>
      </c>
      <c r="R49">
        <v>-8.5000000000000006E-2</v>
      </c>
      <c r="S49">
        <v>-39.4</v>
      </c>
      <c r="T49" s="2" t="str">
        <f t="shared" si="5"/>
        <v>-</v>
      </c>
    </row>
    <row r="50" spans="1:20">
      <c r="A50" s="11" t="s">
        <v>11</v>
      </c>
      <c r="B50" s="13">
        <v>0.9</v>
      </c>
      <c r="C50">
        <v>-7.46</v>
      </c>
      <c r="D50">
        <v>-80.8</v>
      </c>
      <c r="E50" t="str">
        <f t="shared" si="0"/>
        <v>?</v>
      </c>
      <c r="F50">
        <v>-0.13700000000000001</v>
      </c>
      <c r="G50">
        <v>-59.6</v>
      </c>
      <c r="H50" t="str">
        <f t="shared" si="1"/>
        <v>?</v>
      </c>
      <c r="I50" s="1">
        <v>-7.94</v>
      </c>
      <c r="J50">
        <v>-83.6</v>
      </c>
      <c r="K50" t="str">
        <f t="shared" si="2"/>
        <v>?</v>
      </c>
      <c r="L50">
        <v>-0.13600000000000001</v>
      </c>
      <c r="M50">
        <v>-64.5</v>
      </c>
      <c r="N50" t="str">
        <f t="shared" si="3"/>
        <v>?</v>
      </c>
      <c r="O50" s="1">
        <v>-7.87</v>
      </c>
      <c r="P50">
        <v>-83</v>
      </c>
      <c r="Q50" t="str">
        <f t="shared" si="4"/>
        <v>?</v>
      </c>
      <c r="R50">
        <v>-0.14699999999999999</v>
      </c>
      <c r="S50">
        <v>-68.7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-3.9</v>
      </c>
      <c r="D51">
        <v>-46.9</v>
      </c>
      <c r="E51" t="str">
        <f t="shared" si="0"/>
        <v>-</v>
      </c>
      <c r="F51">
        <v>4.9000000000000002E-2</v>
      </c>
      <c r="G51">
        <v>35.5</v>
      </c>
      <c r="H51" t="str">
        <f t="shared" si="1"/>
        <v>-</v>
      </c>
      <c r="I51" s="1">
        <v>-4.17</v>
      </c>
      <c r="J51">
        <v>-50.3</v>
      </c>
      <c r="K51" t="str">
        <f t="shared" si="2"/>
        <v>?</v>
      </c>
      <c r="L51">
        <v>3.0000000000000001E-3</v>
      </c>
      <c r="M51">
        <v>2.2000000000000002</v>
      </c>
      <c r="N51" t="str">
        <f t="shared" si="3"/>
        <v>-</v>
      </c>
      <c r="O51" s="1">
        <v>-4.25</v>
      </c>
      <c r="P51">
        <v>-51.6</v>
      </c>
      <c r="Q51" t="str">
        <f t="shared" si="4"/>
        <v>?</v>
      </c>
      <c r="R51">
        <v>-6.0000000000000001E-3</v>
      </c>
      <c r="S51">
        <v>-4.3</v>
      </c>
      <c r="T51" s="2" t="str">
        <f t="shared" si="5"/>
        <v>-</v>
      </c>
    </row>
    <row r="52" spans="1:20">
      <c r="A52" s="11" t="s">
        <v>13</v>
      </c>
      <c r="B52" s="13">
        <v>0.9</v>
      </c>
      <c r="C52">
        <v>-4.72</v>
      </c>
      <c r="D52">
        <v>-66.3</v>
      </c>
      <c r="E52" t="str">
        <f t="shared" si="0"/>
        <v>?</v>
      </c>
      <c r="F52">
        <v>1.4999999999999999E-2</v>
      </c>
      <c r="G52">
        <v>9</v>
      </c>
      <c r="H52" t="str">
        <f t="shared" si="1"/>
        <v>-</v>
      </c>
      <c r="I52" s="1">
        <v>-4.82</v>
      </c>
      <c r="J52">
        <v>-69</v>
      </c>
      <c r="K52" t="str">
        <f t="shared" si="2"/>
        <v>?</v>
      </c>
      <c r="L52">
        <v>-8.2000000000000003E-2</v>
      </c>
      <c r="M52">
        <v>-33.9</v>
      </c>
      <c r="N52" t="str">
        <f t="shared" si="3"/>
        <v>-</v>
      </c>
      <c r="O52" s="1">
        <v>-5.01</v>
      </c>
      <c r="P52">
        <v>-71</v>
      </c>
      <c r="Q52" t="str">
        <f t="shared" si="4"/>
        <v>?</v>
      </c>
      <c r="R52">
        <v>-0.107</v>
      </c>
      <c r="S52">
        <v>-42.6</v>
      </c>
      <c r="T52" s="2" t="str">
        <f t="shared" si="5"/>
        <v>-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-0.56499999999999995</v>
      </c>
      <c r="D56">
        <f>AVERAGE(D$5:D$52)</f>
        <v>-8.3916666666666675</v>
      </c>
      <c r="F56">
        <f>AVERAGE(F$5:F$52)</f>
        <v>-8.2916666666666659E-3</v>
      </c>
      <c r="G56">
        <f>AVERAGE(G$5:G$52)</f>
        <v>-3.7312499999999997</v>
      </c>
      <c r="H56" s="25"/>
      <c r="I56" s="1">
        <f>AVERAGE(I$5:I$52)</f>
        <v>-0.80645833333333339</v>
      </c>
      <c r="J56">
        <f>AVERAGE(J$5:J$52)</f>
        <v>-10.1625</v>
      </c>
      <c r="L56">
        <f>AVERAGE(L$5:L$52)</f>
        <v>-2.2979166666666672E-2</v>
      </c>
      <c r="M56">
        <f>AVERAGE(M$5:M$52)</f>
        <v>-10.800000000000002</v>
      </c>
      <c r="N56" s="2"/>
      <c r="O56" s="25">
        <f>AVERAGE(O$5:O$52)</f>
        <v>-0.84687499999999993</v>
      </c>
      <c r="P56">
        <f>AVERAGE(P$5:P$52)</f>
        <v>-13.210416666666667</v>
      </c>
      <c r="R56">
        <f>AVERAGE(R$5:R$52)</f>
        <v>-2.8145833333333339E-2</v>
      </c>
      <c r="S56">
        <f>AVERAGE(S$5:S$52)</f>
        <v>-14.077083333333336</v>
      </c>
      <c r="T56" s="25"/>
    </row>
    <row r="57" spans="1:20">
      <c r="B57" s="4" t="s">
        <v>20</v>
      </c>
      <c r="C57" s="25">
        <f>MEDIAN(C$5:C$52)</f>
        <v>-0.06</v>
      </c>
      <c r="D57">
        <f>MEDIAN(D$5:D$52)</f>
        <v>-5.2</v>
      </c>
      <c r="F57">
        <f>MEDIAN(F$5:F$52)</f>
        <v>-7.0000000000000001E-3</v>
      </c>
      <c r="G57">
        <f>MEDIAN(G$5:G$52)</f>
        <v>-4.8499999999999996</v>
      </c>
      <c r="H57" s="25"/>
      <c r="I57" s="1">
        <f>MEDIAN(I$5:I$52)</f>
        <v>-5.5E-2</v>
      </c>
      <c r="J57" s="30">
        <f>MEDIAN(J$5:J$52)</f>
        <v>-5</v>
      </c>
      <c r="L57">
        <f>MEDIAN(L$5:L$52)</f>
        <v>-1.0499999999999999E-2</v>
      </c>
      <c r="M57">
        <f>MEDIAN(M$5:M$52)</f>
        <v>-9.25</v>
      </c>
      <c r="N57" s="2"/>
      <c r="O57" s="25">
        <f>MEDIAN(O$5:O$52)</f>
        <v>-9.5000000000000001E-2</v>
      </c>
      <c r="P57">
        <f>MEDIAN(P$5:P$52)</f>
        <v>-9.5</v>
      </c>
      <c r="R57">
        <f>MEDIAN(R$5:R$52)</f>
        <v>-2.1499999999999998E-2</v>
      </c>
      <c r="S57">
        <f>MEDIAN(S$5:S$52)</f>
        <v>-20</v>
      </c>
      <c r="T57" s="25"/>
    </row>
    <row r="58" spans="1:20">
      <c r="B58" s="4" t="s">
        <v>21</v>
      </c>
      <c r="C58" s="25">
        <f>STDEV(C$5:C$52)</f>
        <v>1.7143822161288083</v>
      </c>
      <c r="D58">
        <f>STDEV(D$5:D$52)</f>
        <v>29.792193989282421</v>
      </c>
      <c r="F58">
        <f>STDEV(F$5:F$52)</f>
        <v>3.6066698457006739E-2</v>
      </c>
      <c r="G58">
        <f>STDEV(G$5:G$52)</f>
        <v>24.592103526357072</v>
      </c>
      <c r="H58" s="25"/>
      <c r="I58" s="1">
        <f>STDEV(I$5:I$52)</f>
        <v>1.8539704255064271</v>
      </c>
      <c r="J58">
        <f>STDEV(J$5:J$52)</f>
        <v>31.402579003723666</v>
      </c>
      <c r="L58">
        <f>STDEV(L$5:L$52)</f>
        <v>4.2298578811864898E-2</v>
      </c>
      <c r="M58">
        <f>STDEV(M$5:M$52)</f>
        <v>24.507298088007744</v>
      </c>
      <c r="N58" s="2"/>
      <c r="O58" s="25">
        <f>STDEV(O$5:O$52)</f>
        <v>1.884252948924829</v>
      </c>
      <c r="P58">
        <f>STDEV(P$5:P$52)</f>
        <v>30.815768549754793</v>
      </c>
      <c r="R58">
        <f>STDEV(R$5:R$52)</f>
        <v>4.4317994800312975E-2</v>
      </c>
      <c r="S58">
        <f>STDEV(S$5:S$52)</f>
        <v>27.812963758186296</v>
      </c>
      <c r="T58" s="25"/>
    </row>
    <row r="59" spans="1:20">
      <c r="B59" s="4" t="s">
        <v>22</v>
      </c>
      <c r="C59" s="25">
        <f>COUNTIF(C$5:C$52, "&lt;0")</f>
        <v>26</v>
      </c>
      <c r="D59">
        <f>COUNTIF(D$5:D$52, "&lt;0")</f>
        <v>26</v>
      </c>
      <c r="F59">
        <f>COUNTIF(F$5:F$52, "&lt;0")</f>
        <v>31</v>
      </c>
      <c r="G59">
        <f>COUNTIF(G$5:G$52, "&lt;0")</f>
        <v>31</v>
      </c>
      <c r="H59" s="25"/>
      <c r="I59" s="1">
        <f>COUNTIF(I$5:I$52, "&lt;0")</f>
        <v>29</v>
      </c>
      <c r="J59">
        <f>COUNTIF(J$5:J$52, "&lt;0")</f>
        <v>29</v>
      </c>
      <c r="L59">
        <f>COUNTIF(L$5:L$52, "&lt;0")</f>
        <v>34</v>
      </c>
      <c r="M59">
        <f>COUNTIF(M$5:M$52, "&lt;0")</f>
        <v>34</v>
      </c>
      <c r="N59" s="2"/>
      <c r="O59" s="25">
        <f>COUNTIF(O$5:O$52, "&lt;0")</f>
        <v>30</v>
      </c>
      <c r="P59">
        <f>COUNTIF(P$5:P$52, "&lt;0")</f>
        <v>30</v>
      </c>
      <c r="R59">
        <f>COUNTIF(R$5:R$52, "&lt;0")</f>
        <v>39</v>
      </c>
      <c r="S59">
        <f>COUNTIF(S$5:S$52, "&lt;0")</f>
        <v>39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1.1666666666666686E-2</v>
      </c>
      <c r="D63">
        <f>AVERAGE(D$5:D$28)</f>
        <v>0.6541666666666669</v>
      </c>
      <c r="F63">
        <f>AVERAGE(F$5:F$28)</f>
        <v>-7.5416666666666644E-3</v>
      </c>
      <c r="G63">
        <f>AVERAGE(G$5:G$28)</f>
        <v>-4.729166666666667</v>
      </c>
      <c r="H63" s="25"/>
      <c r="I63" s="1">
        <f>AVERAGE(I$5:I$28)</f>
        <v>-0.10375</v>
      </c>
      <c r="J63">
        <f>AVERAGE(J$5:J$28)</f>
        <v>2.916666666666649E-2</v>
      </c>
      <c r="L63">
        <f>AVERAGE(L$5:L$28)</f>
        <v>-1.7750000000000002E-2</v>
      </c>
      <c r="M63">
        <f>AVERAGE(M$5:M$28)</f>
        <v>-9.0374999999999996</v>
      </c>
      <c r="N63" s="2"/>
      <c r="O63" s="25">
        <f>AVERAGE(O$5:O$28)</f>
        <v>-0.13000000000000003</v>
      </c>
      <c r="P63">
        <f>AVERAGE(P$5:P$28)</f>
        <v>-4.2208333333333341</v>
      </c>
      <c r="R63">
        <f>AVERAGE(R$5:R$28)</f>
        <v>-2.2750000000000006E-2</v>
      </c>
      <c r="S63">
        <f>AVERAGE(S$5:S$28)</f>
        <v>-12.625000000000002</v>
      </c>
      <c r="T63" s="25"/>
    </row>
    <row r="64" spans="1:20">
      <c r="B64" s="4" t="s">
        <v>20</v>
      </c>
      <c r="C64" s="25">
        <f>MEDIAN(C$5:C$28)</f>
        <v>0.01</v>
      </c>
      <c r="D64">
        <f>MEDIAN(D$5:D$28)</f>
        <v>0.75</v>
      </c>
      <c r="F64">
        <f>MEDIAN(F$5:F$28)</f>
        <v>-8.5000000000000006E-3</v>
      </c>
      <c r="G64">
        <f>MEDIAN(G$5:G$28)</f>
        <v>-6.05</v>
      </c>
      <c r="H64" s="25"/>
      <c r="I64" s="1">
        <f>MEDIAN(I$5:I$28)</f>
        <v>-0.05</v>
      </c>
      <c r="J64">
        <f>MEDIAN(J$5:J$28)</f>
        <v>-4</v>
      </c>
      <c r="L64">
        <f>MEDIAN(L$5:L$28)</f>
        <v>-1.0999999999999999E-2</v>
      </c>
      <c r="M64">
        <f>MEDIAN(M$5:M$28)</f>
        <v>-9.6</v>
      </c>
      <c r="N64" s="2"/>
      <c r="O64" s="25">
        <f>MEDIAN(O$5:O$28)</f>
        <v>-8.5000000000000006E-2</v>
      </c>
      <c r="P64">
        <f>MEDIAN(P$5:P$28)</f>
        <v>-5.5</v>
      </c>
      <c r="R64">
        <f>MEDIAN(R$5:R$28)</f>
        <v>-2.3E-2</v>
      </c>
      <c r="S64">
        <f>MEDIAN(S$5:S$28)</f>
        <v>-20.549999999999997</v>
      </c>
      <c r="T64" s="25"/>
    </row>
    <row r="65" spans="2:20">
      <c r="B65" s="4" t="s">
        <v>21</v>
      </c>
      <c r="C65" s="25">
        <f>STDEV(C$5:C$28)</f>
        <v>0.45120771912402097</v>
      </c>
      <c r="D65">
        <f>STDEV(D$5:D$28)</f>
        <v>18.448517771653485</v>
      </c>
      <c r="F65">
        <f>STDEV(F$5:F$28)</f>
        <v>2.8471158811294826E-2</v>
      </c>
      <c r="G65">
        <f>STDEV(G$5:G$28)</f>
        <v>18.769806447003418</v>
      </c>
      <c r="H65" s="25"/>
      <c r="I65" s="1">
        <f>STDEV(I$5:I$28)</f>
        <v>0.40325644554001272</v>
      </c>
      <c r="J65">
        <f>STDEV(J$5:J$28)</f>
        <v>19.988789883694629</v>
      </c>
      <c r="L65">
        <f>STDEV(L$5:L$28)</f>
        <v>3.6322528642104779E-2</v>
      </c>
      <c r="M65">
        <f>STDEV(M$5:M$28)</f>
        <v>21.719852920072114</v>
      </c>
      <c r="N65" s="2"/>
      <c r="O65" s="25">
        <f>STDEV(O$5:O$28)</f>
        <v>0.35512398324847178</v>
      </c>
      <c r="P65">
        <f>STDEV(P$5:P$28)</f>
        <v>17.742113475561759</v>
      </c>
      <c r="R65">
        <f>STDEV(R$5:R$28)</f>
        <v>3.7603480412462281E-2</v>
      </c>
      <c r="S65">
        <f>STDEV(S$5:S$28)</f>
        <v>27.243224127653558</v>
      </c>
      <c r="T65" s="25"/>
    </row>
    <row r="66" spans="2:20">
      <c r="B66" s="4" t="s">
        <v>22</v>
      </c>
      <c r="C66" s="25">
        <f>COUNTIF(C$5:C$28, "&lt;0")</f>
        <v>11</v>
      </c>
      <c r="D66">
        <f>COUNTIF(D$5:D$28, "&lt;0")</f>
        <v>11</v>
      </c>
      <c r="F66">
        <f>COUNTIF(F$5:F$28, "&lt;0")</f>
        <v>17</v>
      </c>
      <c r="G66">
        <f>COUNTIF(G$5:G$28, "&lt;0")</f>
        <v>17</v>
      </c>
      <c r="H66" s="25"/>
      <c r="I66" s="1">
        <f>COUNTIF(I$5:I$28, "&lt;0")</f>
        <v>14</v>
      </c>
      <c r="J66">
        <f>COUNTIF(J$5:J$28, "&lt;0")</f>
        <v>14</v>
      </c>
      <c r="L66">
        <f>COUNTIF(L$5:L$28, "&lt;0")</f>
        <v>17</v>
      </c>
      <c r="M66">
        <f>COUNTIF(M$5:M$28, "&lt;0")</f>
        <v>17</v>
      </c>
      <c r="N66" s="2"/>
      <c r="O66" s="25">
        <f>COUNTIF(O$5:O$28, "&lt;0")</f>
        <v>14</v>
      </c>
      <c r="P66">
        <f>COUNTIF(P$5:P$28, "&lt;0")</f>
        <v>14</v>
      </c>
      <c r="R66">
        <f>COUNTIF(R$5:R$28, "&lt;0")</f>
        <v>19</v>
      </c>
      <c r="S66">
        <f>COUNTIF(S$5:S$28, "&lt;0")</f>
        <v>19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-1.1416666666666666</v>
      </c>
      <c r="D70">
        <f>AVERAGE(D$29:D$52)</f>
        <v>-17.4375</v>
      </c>
      <c r="F70">
        <f>AVERAGE(F$29:F$52)</f>
        <v>-9.0416666666666683E-3</v>
      </c>
      <c r="G70">
        <f>AVERAGE(G$29:G$52)</f>
        <v>-2.7333333333333343</v>
      </c>
      <c r="H70" s="25"/>
      <c r="I70" s="1">
        <f>AVERAGE(I$29:I$52)</f>
        <v>-1.5091666666666665</v>
      </c>
      <c r="J70">
        <f>AVERAGE(J$29:J$52)</f>
        <v>-20.354166666666668</v>
      </c>
      <c r="L70">
        <f>AVERAGE(L$29:L$52)</f>
        <v>-2.8208333333333325E-2</v>
      </c>
      <c r="M70">
        <f>AVERAGE(M$29:M$52)</f>
        <v>-12.562499999999998</v>
      </c>
      <c r="N70" s="2"/>
      <c r="O70" s="25">
        <f>AVERAGE(O$29:O$52)</f>
        <v>-1.5637499999999998</v>
      </c>
      <c r="P70">
        <f>AVERAGE(P$29:P$52)</f>
        <v>-22.200000000000003</v>
      </c>
      <c r="R70">
        <f>AVERAGE(R$29:R$52)</f>
        <v>-3.3541666666666664E-2</v>
      </c>
      <c r="S70">
        <f>AVERAGE(S$29:S$52)</f>
        <v>-15.529166666666667</v>
      </c>
      <c r="T70" s="25"/>
    </row>
    <row r="71" spans="2:20">
      <c r="B71" s="4" t="s">
        <v>20</v>
      </c>
      <c r="C71" s="25">
        <f>MEDIAN(C$29:C$52)</f>
        <v>-0.1</v>
      </c>
      <c r="D71">
        <f>MEDIAN(D$29:D$52)</f>
        <v>-10</v>
      </c>
      <c r="F71">
        <f>MEDIAN(F$29:F$52)</f>
        <v>-2.5000000000000001E-3</v>
      </c>
      <c r="G71">
        <f>MEDIAN(G$29:G$52)</f>
        <v>-2.35</v>
      </c>
      <c r="H71" s="25"/>
      <c r="I71" s="1">
        <f>MEDIAN(I$29:I$52)</f>
        <v>-7.5000000000000011E-2</v>
      </c>
      <c r="J71">
        <f>MEDIAN(J$29:J$52)</f>
        <v>-5.8</v>
      </c>
      <c r="L71">
        <f>MEDIAN(L$29:L$52)</f>
        <v>-1.0499999999999999E-2</v>
      </c>
      <c r="M71">
        <f>MEDIAN(M$29:M$52)</f>
        <v>-8.1</v>
      </c>
      <c r="N71" s="2"/>
      <c r="O71" s="25">
        <f>MEDIAN(O$29:O$52)</f>
        <v>-0.1</v>
      </c>
      <c r="P71">
        <f>MEDIAN(P$29:P$52)</f>
        <v>-10.75</v>
      </c>
      <c r="R71">
        <f>MEDIAN(R$29:R$52)</f>
        <v>-1.9000000000000003E-2</v>
      </c>
      <c r="S71">
        <f>MEDIAN(S$29:S$52)</f>
        <v>-18.25</v>
      </c>
      <c r="T71" s="25"/>
    </row>
    <row r="72" spans="2:20">
      <c r="B72" s="4" t="s">
        <v>21</v>
      </c>
      <c r="C72" s="25">
        <f>STDEV(C$29:C$52)</f>
        <v>2.260178266664258</v>
      </c>
      <c r="D72">
        <f>STDEV(D$29:D$52)</f>
        <v>36.091861210696436</v>
      </c>
      <c r="F72">
        <f>STDEV(F$29:F$52)</f>
        <v>4.2969634542937687E-2</v>
      </c>
      <c r="G72">
        <f>STDEV(G$29:G$52)</f>
        <v>29.689284652689185</v>
      </c>
      <c r="H72" s="25"/>
      <c r="I72" s="1">
        <f>STDEV(I$29:I$52)</f>
        <v>2.4146849946086979</v>
      </c>
      <c r="J72">
        <f>STDEV(J$29:J$52)</f>
        <v>37.400464763058132</v>
      </c>
      <c r="L72">
        <f>STDEV(L$29:L$52)</f>
        <v>4.7746594840266665E-2</v>
      </c>
      <c r="M72">
        <f>STDEV(M$29:M$52)</f>
        <v>27.369577088438909</v>
      </c>
      <c r="N72" s="2"/>
      <c r="O72" s="25">
        <f>STDEV(O$29:O$52)</f>
        <v>2.4610086523530392</v>
      </c>
      <c r="P72">
        <f>STDEV(P$29:P$52)</f>
        <v>38.171660327707947</v>
      </c>
      <c r="R72">
        <f>STDEV(R$29:R$52)</f>
        <v>5.0386315573788976E-2</v>
      </c>
      <c r="S72">
        <f>STDEV(S$29:S$52)</f>
        <v>28.881850464121651</v>
      </c>
      <c r="T72" s="25"/>
    </row>
    <row r="73" spans="2:20">
      <c r="B73" s="4" t="s">
        <v>22</v>
      </c>
      <c r="C73" s="25">
        <f>COUNTIF(C$29:C$52, "&lt;0")</f>
        <v>15</v>
      </c>
      <c r="D73">
        <f>COUNTIF(D$29:D$52, "&lt;0")</f>
        <v>15</v>
      </c>
      <c r="F73">
        <f>COUNTIF(F$29:F$52, "&lt;0")</f>
        <v>14</v>
      </c>
      <c r="G73">
        <f>COUNTIF(G$29:G$52, "&lt;0")</f>
        <v>14</v>
      </c>
      <c r="H73" s="25"/>
      <c r="I73" s="1">
        <f>COUNTIF(I$29:I$52, "&lt;0")</f>
        <v>15</v>
      </c>
      <c r="J73">
        <f>COUNTIF(J$29:J$52, "&lt;0")</f>
        <v>15</v>
      </c>
      <c r="L73">
        <f>COUNTIF(L$29:L$52, "&lt;0")</f>
        <v>17</v>
      </c>
      <c r="M73">
        <f>COUNTIF(M$29:M$52, "&lt;0")</f>
        <v>17</v>
      </c>
      <c r="N73" s="2"/>
      <c r="O73" s="25">
        <f>COUNTIF(O$29:O$52, "&lt;0")</f>
        <v>16</v>
      </c>
      <c r="P73">
        <f>COUNTIF(P$29:P$52, "&lt;0")</f>
        <v>16</v>
      </c>
      <c r="R73">
        <f>COUNTIF(R$29:R$52, "&lt;0")</f>
        <v>20</v>
      </c>
      <c r="S73">
        <f>COUNTIF(S$29:S$52, "&lt;0")</f>
        <v>20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-0.73944444444444457</v>
      </c>
      <c r="D77">
        <f>AVERAGE(D$5:D$52,J$5:J$52,P$5:P$52)</f>
        <v>-10.588194444444445</v>
      </c>
      <c r="F77">
        <f>AVERAGE(F$5:F$52,L$5:L$52,R$5:R$52)</f>
        <v>-1.9805555555555542E-2</v>
      </c>
      <c r="G77">
        <f>AVERAGE(G$5:G$52,M$5:M$52,S$5:S$52)</f>
        <v>-9.5361111111111061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-8.4999999999999992E-2</v>
      </c>
      <c r="D78">
        <f>MEDIAN(D$5:D$52,J$5:J$52,P$5:P$52)</f>
        <v>-6.55</v>
      </c>
      <c r="F78">
        <f>MEDIAN(F$5:F$52,L$5:L$52,R$5:R$52)</f>
        <v>-1.2999999999999999E-2</v>
      </c>
      <c r="G78">
        <f>MEDIAN(G$5:G$52,M$5:M$52,S$5:S$52)</f>
        <v>-9.9499999999999993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1.8105868838652466</v>
      </c>
      <c r="D79">
        <f>STDEV(D$5:D$52,J$5:J$52,P$5:P$52)</f>
        <v>30.52751022656868</v>
      </c>
      <c r="F79">
        <f>STDEV(F$5:F$52,L$5:L$52,R$5:R$52)</f>
        <v>4.1621551332855625E-2</v>
      </c>
      <c r="G79">
        <f>STDEV(G$5:G$52,M$5:M$52,S$5:S$52)</f>
        <v>25.868693748222313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85</v>
      </c>
      <c r="D80">
        <f>COUNTIF(D$5:D$52, "&lt;0")+COUNTIF(J$5:J$52, "&lt;0")+COUNTIF(P$5:P$52, "&lt;0")</f>
        <v>85</v>
      </c>
      <c r="F80">
        <f>COUNTIF(F$5:F$52, "&lt;0")+COUNTIF(L$5:L$52, "&lt;0")+COUNTIF(R$5:R$52, "&lt;0")</f>
        <v>104</v>
      </c>
      <c r="G80">
        <f>COUNTIF(G$5:G$52, "&lt;0")+COUNTIF(M$5:M$52, "&lt;0")+COUNTIF(S$5:S$52, "&lt;0")</f>
        <v>104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0.90861111111111148</v>
      </c>
      <c r="D83" cm="1">
        <f t="array" ref="D83">AVERAGE(ABS(D$5:D$52),ABS(J$5:J$52),ABS(P$5:P$52))</f>
        <v>23.054861111111105</v>
      </c>
      <c r="F83" cm="1">
        <f t="array" ref="F83">AVERAGE(ABS(F$5:F$52),ABS(L$5:L$52),ABS(R$5:R$52))</f>
        <v>3.1333333333333338E-2</v>
      </c>
      <c r="G83" cm="1">
        <f t="array" ref="G83">AVERAGE(ABS(G$5:G$52),ABS(M$5:M$52),ABS(S$5:S$52))</f>
        <v>21.481944444444451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0.17499999999999999</v>
      </c>
      <c r="D84" cm="1">
        <f t="array" ref="D84">MEDIAN(ABS(D$5:D$52),ABS(J$5:J$52),ABS(P$5:P$52))</f>
        <v>14.75</v>
      </c>
      <c r="F84" cm="1">
        <f t="array" ref="F84">MEDIAN(ABS(F$5:F$52),ABS(L$5:L$52),ABS(R$5:R$52))</f>
        <v>2.1499999999999998E-2</v>
      </c>
      <c r="G84" cm="1">
        <f t="array" ref="G84">MEDIAN(ABS(G$5:G$52),ABS(M$5:M$52),ABS(S$5:S$52))</f>
        <v>18.799999999999997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1.7313229555398311</v>
      </c>
      <c r="D85" cm="1">
        <f t="array" ref="D85">STDEV(ABS(D$5:D$52),ABS(J$5:J$52),ABS(P$5:P$52))</f>
        <v>22.573859595636545</v>
      </c>
      <c r="F85" cm="1">
        <f t="array" ref="F85">STDEV(ABS(F$5:F$52),ABS(L$5:L$52),ABS(R$5:R$52))</f>
        <v>3.3744826073241016E-2</v>
      </c>
      <c r="G85" cm="1">
        <f t="array" ref="G85">STDEV(ABS(G$5:G$52),ABS(M$5:M$52),ABS(S$5:S$52))</f>
        <v>17.206441519359227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-7.4027777777777762E-2</v>
      </c>
      <c r="D89">
        <f>AVERAGE(D$5:D$28,J$5:J$28,P$5:P$28)</f>
        <v>-1.1791666666666671</v>
      </c>
      <c r="F89">
        <f>AVERAGE(F$5:F$28,L$5:L$28,R$5:R$28)</f>
        <v>-1.601388888888889E-2</v>
      </c>
      <c r="G89">
        <f>AVERAGE(G$5:G$28,M$5:M$28,S$5:S$28)</f>
        <v>-8.7972222222222243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-0.04</v>
      </c>
      <c r="D90">
        <f>MEDIAN(D$5:D$28,J$5:J$28,P$5:P$28)</f>
        <v>-2.3499999999999996</v>
      </c>
      <c r="F90">
        <f>MEDIAN(F$5:F$28,L$5:L$28,R$5:R$28)</f>
        <v>-1.35E-2</v>
      </c>
      <c r="G90">
        <f>MEDIAN(G$5:G$28,M$5:M$28,S$5:S$28)</f>
        <v>-10.199999999999999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0.40413238565230131</v>
      </c>
      <c r="D91">
        <f>STDEV(D$5:D$28,J$5:J$28,P$5:P$28)</f>
        <v>18.612217231745653</v>
      </c>
      <c r="F91">
        <f>STDEV(F$5:F$28,L$5:L$28,R$5:R$28)</f>
        <v>3.4476974580331617E-2</v>
      </c>
      <c r="G91">
        <f>STDEV(G$5:G$28,M$5:M$28,S$5:S$28)</f>
        <v>22.758369283781388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39</v>
      </c>
      <c r="D92">
        <f>COUNTIF(D$5:D$28, "&lt;0")+COUNTIF(J$5:J$28, "&lt;0")+COUNTIF(P$5:P$28, "&lt;0")</f>
        <v>39</v>
      </c>
      <c r="F92">
        <f>COUNTIF(F$5:F$28, "&lt;0")+COUNTIF(L$5:L$28, "&lt;0")+COUNTIF(R$5:R$28, "&lt;0")</f>
        <v>53</v>
      </c>
      <c r="G92">
        <f>COUNTIF(G$5:G$28, "&lt;0")+COUNTIF(M$5:M$28, "&lt;0")+COUNTIF(S$5:S$28, "&lt;0")</f>
        <v>53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0.26013888888888881</v>
      </c>
      <c r="D95" cm="1">
        <f t="array" ref="D95">AVERAGE(ABS(D$5:D$28),ABS(J$5:J$28),ABS(P$5:P$28))</f>
        <v>14.868055555555552</v>
      </c>
      <c r="F95" cm="1">
        <f t="array" ref="F95">AVERAGE(ABS(F$5:F$28),ABS(L$5:L$28),ABS(R$5:R$28))</f>
        <v>2.6847222222222203E-2</v>
      </c>
      <c r="G95" cm="1">
        <f t="array" ref="G95">AVERAGE(ABS(G$5:G$28),ABS(M$5:M$28),ABS(S$5:S$28))</f>
        <v>19.369444444444454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0.16</v>
      </c>
      <c r="D96" cm="1">
        <f t="array" ref="D96">MEDIAN(ABS(D$5:D$28),ABS(J$5:J$28),ABS(P$5:P$28))</f>
        <v>13.7</v>
      </c>
      <c r="F96" cm="1">
        <f t="array" ref="F96">MEDIAN(ABS(F$5:F$28),ABS(L$5:L$28),ABS(R$5:R$28))</f>
        <v>2.1000000000000001E-2</v>
      </c>
      <c r="G96" cm="1">
        <f t="array" ref="G96">MEDIAN(ABS(G$5:G$28),ABS(M$5:M$28),ABS(S$5:S$28))</f>
        <v>17.799999999999997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0.31663055761510062</v>
      </c>
      <c r="D97" cm="1">
        <f t="array" ref="D97">STDEV(ABS(D$5:D$28),ABS(J$5:J$28),ABS(P$5:P$28))</f>
        <v>11.119894953259131</v>
      </c>
      <c r="F97" cm="1">
        <f t="array" ref="F97">STDEV(ABS(F$5:F$28),ABS(L$5:L$28),ABS(R$5:R$28))</f>
        <v>2.6791663472279861E-2</v>
      </c>
      <c r="G97" cm="1">
        <f t="array" ref="G97">STDEV(ABS(G$5:G$28),ABS(M$5:M$28),ABS(S$5:S$28))</f>
        <v>14.695746619382605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-1.4048611111111113</v>
      </c>
      <c r="D101">
        <f>AVERAGE(D$29:D$52,J$29:J$52,P$29:P$52)</f>
        <v>-19.99722222222222</v>
      </c>
      <c r="F101">
        <f>AVERAGE(F$29:F$52,L$29:L$52,R$29:R$52)</f>
        <v>-2.3597222222222217E-2</v>
      </c>
      <c r="G101">
        <f>AVERAGE(G$29:G$52,M$29:M$52,S$29:S$52)</f>
        <v>-10.275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-9.5000000000000001E-2</v>
      </c>
      <c r="D102">
        <f>MEDIAN(D$29:D$52,J$29:J$52,P$29:P$52)</f>
        <v>-9.8500000000000014</v>
      </c>
      <c r="F102">
        <f>MEDIAN(F$29:F$52,L$29:L$52,R$29:R$52)</f>
        <v>-1.2500000000000001E-2</v>
      </c>
      <c r="G102">
        <f>MEDIAN(G$29:G$52,M$29:M$52,S$29:S$52)</f>
        <v>-9.5500000000000007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2.353989716645335</v>
      </c>
      <c r="D103">
        <f>STDEV(D$29:D$52,J$29:J$52,P$29:P$52)</f>
        <v>36.756162546340718</v>
      </c>
      <c r="F103">
        <f>STDEV(F$29:F$52,L$29:L$52,R$29:R$52)</f>
        <v>4.7658012855745169E-2</v>
      </c>
      <c r="G103">
        <f>STDEV(G$29:G$52,M$29:M$52,S$29:S$52)</f>
        <v>28.788073381421071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46</v>
      </c>
      <c r="D104">
        <f>COUNTIF(D$29:D$52, "&lt;0")+COUNTIF(J$29:J$52, "&lt;0")+COUNTIF(P$29:P$52, "&lt;0")</f>
        <v>46</v>
      </c>
      <c r="F104">
        <f>COUNTIF(F$29:F$52, "&lt;0")+COUNTIF(L$29:L$52, "&lt;0")+COUNTIF(R$29:R$52, "&lt;0")</f>
        <v>51</v>
      </c>
      <c r="G104">
        <f>COUNTIF(G$29:G$52, "&lt;0")+COUNTIF(M$29:M$52, "&lt;0")+COUNTIF(S$29:S$52, "&lt;0")</f>
        <v>51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1.557083333333334</v>
      </c>
      <c r="D107" cm="1">
        <f t="array" ref="D107">AVERAGE(ABS(D$29:D$52),ABS(J$29:J$52),ABS(P$29:P$52))</f>
        <v>31.24166666666666</v>
      </c>
      <c r="F107" cm="1">
        <f t="array" ref="F107">AVERAGE(ABS(F$29:F$52),ABS(L$29:L$52),ABS(R$29:R$52))</f>
        <v>3.5819444444444432E-2</v>
      </c>
      <c r="G107" cm="1">
        <f t="array" ref="G107">AVERAGE(ABS(G$29:G$52),ABS(M$29:M$52),ABS(S$29:S$52))</f>
        <v>23.594444444444449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0.255</v>
      </c>
      <c r="D108" cm="1">
        <f t="array" ref="D108">MEDIAN(ABS(D$29:D$52),ABS(J$29:J$52),ABS(P$29:P$52))</f>
        <v>22.45</v>
      </c>
      <c r="F108" cm="1">
        <f t="array" ref="F108">MEDIAN(ABS(F$29:F$52),ABS(L$29:L$52),ABS(R$29:R$52))</f>
        <v>2.1999999999999999E-2</v>
      </c>
      <c r="G108" cm="1">
        <f t="array" ref="G108">MEDIAN(ABS(G$29:G$52),ABS(M$29:M$52),ABS(S$29:S$52))</f>
        <v>19.700000000000003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2.2547823588797851</v>
      </c>
      <c r="D109" cm="1">
        <f t="array" ref="D109">STDEV(ABS(D$29:D$52),ABS(J$29:J$52),ABS(P$29:P$52))</f>
        <v>27.690211571987103</v>
      </c>
      <c r="F109" cm="1">
        <f t="array" ref="F109">STDEV(ABS(F$29:F$52),ABS(L$29:L$52),ABS(R$29:R$52))</f>
        <v>3.9177216139942149E-2</v>
      </c>
      <c r="G109" cm="1">
        <f t="array" ref="G109">STDEV(ABS(G$29:G$52),ABS(M$29:M$52),ABS(S$29:S$52))</f>
        <v>19.268553443361718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DA58-66F6-475E-975E-C146BAB36995}">
  <dimension ref="A1:T109"/>
  <sheetViews>
    <sheetView topLeftCell="A37" workbookViewId="0">
      <selection activeCell="B56" sqref="B56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0.31</v>
      </c>
      <c r="D5">
        <v>22.6</v>
      </c>
      <c r="E5" t="str">
        <f>IF(ABS(D5)&gt;50,"?","-")</f>
        <v>-</v>
      </c>
      <c r="F5">
        <v>-0.01</v>
      </c>
      <c r="G5">
        <v>-7.2</v>
      </c>
      <c r="H5" t="str">
        <f>IF(ABS(G5)&gt;50,"?","-")</f>
        <v>-</v>
      </c>
      <c r="I5" s="1">
        <v>0.2</v>
      </c>
      <c r="J5">
        <v>15</v>
      </c>
      <c r="K5" t="str">
        <f>IF(ABS(J5)&gt;50,"?","-")</f>
        <v>-</v>
      </c>
      <c r="L5">
        <v>-2.1999999999999999E-2</v>
      </c>
      <c r="M5">
        <v>-17.100000000000001</v>
      </c>
      <c r="N5" t="str">
        <f>IF(ABS(M5)&gt;50,"?","-")</f>
        <v>-</v>
      </c>
      <c r="O5" s="1">
        <v>0.28000000000000003</v>
      </c>
      <c r="P5">
        <v>20.9</v>
      </c>
      <c r="Q5" t="str">
        <f>IF(ABS(P5)&gt;50,"?","-")</f>
        <v>-</v>
      </c>
      <c r="R5">
        <v>-1.9E-2</v>
      </c>
      <c r="S5">
        <v>-14.8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0.21</v>
      </c>
      <c r="D6">
        <v>17.8</v>
      </c>
      <c r="E6" t="str">
        <f t="shared" ref="E6:E52" si="0">IF(ABS(D6)&gt;50,"?","-")</f>
        <v>-</v>
      </c>
      <c r="F6">
        <v>-2.3E-2</v>
      </c>
      <c r="G6">
        <v>-23.2</v>
      </c>
      <c r="H6" t="str">
        <f t="shared" ref="H6:H52" si="1">IF(ABS(G6)&gt;50,"?","-")</f>
        <v>-</v>
      </c>
      <c r="I6" s="1">
        <v>0.2</v>
      </c>
      <c r="J6">
        <v>18.3</v>
      </c>
      <c r="K6" t="str">
        <f t="shared" ref="K6:K52" si="2">IF(ABS(J6)&gt;50,"?","-")</f>
        <v>-</v>
      </c>
      <c r="L6">
        <v>-3.5999999999999997E-2</v>
      </c>
      <c r="M6">
        <v>-35.299999999999997</v>
      </c>
      <c r="N6" t="str">
        <f t="shared" ref="N6:N52" si="3">IF(ABS(M6)&gt;50,"?","-")</f>
        <v>-</v>
      </c>
      <c r="O6" s="1">
        <v>0.31</v>
      </c>
      <c r="P6">
        <v>29</v>
      </c>
      <c r="Q6" t="str">
        <f t="shared" ref="Q6:Q52" si="4">IF(ABS(P6)&gt;50,"?","-")</f>
        <v>-</v>
      </c>
      <c r="R6">
        <v>-1.7000000000000001E-2</v>
      </c>
      <c r="S6">
        <v>-17.5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-1.1599999999999999</v>
      </c>
      <c r="D7">
        <v>-25.8</v>
      </c>
      <c r="E7" t="str">
        <f t="shared" si="0"/>
        <v>-</v>
      </c>
      <c r="F7">
        <v>-6.4000000000000001E-2</v>
      </c>
      <c r="G7">
        <v>-22.4</v>
      </c>
      <c r="H7" t="str">
        <f t="shared" si="1"/>
        <v>-</v>
      </c>
      <c r="I7" s="1">
        <v>-1.86</v>
      </c>
      <c r="J7">
        <v>-41.5</v>
      </c>
      <c r="K7" t="str">
        <f t="shared" si="2"/>
        <v>-</v>
      </c>
      <c r="L7">
        <v>-0.13100000000000001</v>
      </c>
      <c r="M7">
        <v>-46.6</v>
      </c>
      <c r="N7" t="str">
        <f t="shared" si="3"/>
        <v>-</v>
      </c>
      <c r="O7" s="1">
        <v>-1.56</v>
      </c>
      <c r="P7">
        <v>-35.200000000000003</v>
      </c>
      <c r="Q7" t="str">
        <f t="shared" si="4"/>
        <v>-</v>
      </c>
      <c r="R7">
        <v>-0.13900000000000001</v>
      </c>
      <c r="S7">
        <v>-49.8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0.41</v>
      </c>
      <c r="D8">
        <v>46.1</v>
      </c>
      <c r="E8" t="str">
        <f t="shared" si="0"/>
        <v>-</v>
      </c>
      <c r="F8">
        <v>7.6999999999999999E-2</v>
      </c>
      <c r="G8">
        <v>98.7</v>
      </c>
      <c r="H8" t="str">
        <f t="shared" si="1"/>
        <v>?</v>
      </c>
      <c r="I8" s="1">
        <v>0.68</v>
      </c>
      <c r="J8">
        <v>75.599999999999994</v>
      </c>
      <c r="K8" t="str">
        <f t="shared" si="2"/>
        <v>?</v>
      </c>
      <c r="L8">
        <v>7.2999999999999995E-2</v>
      </c>
      <c r="M8">
        <v>90.1</v>
      </c>
      <c r="N8" t="str">
        <f t="shared" si="3"/>
        <v>?</v>
      </c>
      <c r="O8" s="1">
        <v>0.56999999999999995</v>
      </c>
      <c r="P8">
        <v>63.3</v>
      </c>
      <c r="Q8" t="str">
        <f t="shared" si="4"/>
        <v>?</v>
      </c>
      <c r="R8">
        <v>4.0000000000000001E-3</v>
      </c>
      <c r="S8">
        <v>4.8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0</v>
      </c>
      <c r="D9">
        <v>0</v>
      </c>
      <c r="E9" t="str">
        <f t="shared" si="0"/>
        <v>-</v>
      </c>
      <c r="F9">
        <v>-2.3E-2</v>
      </c>
      <c r="G9">
        <v>-16.899999999999999</v>
      </c>
      <c r="H9" t="str">
        <f t="shared" si="1"/>
        <v>-</v>
      </c>
      <c r="I9" s="1">
        <v>0.03</v>
      </c>
      <c r="J9">
        <v>2.5</v>
      </c>
      <c r="K9" t="str">
        <f t="shared" si="2"/>
        <v>-</v>
      </c>
      <c r="L9">
        <v>-1.0999999999999999E-2</v>
      </c>
      <c r="M9">
        <v>-9.1999999999999993</v>
      </c>
      <c r="N9" t="str">
        <f t="shared" si="3"/>
        <v>-</v>
      </c>
      <c r="O9" s="1">
        <v>-0.18</v>
      </c>
      <c r="P9">
        <v>-13.8</v>
      </c>
      <c r="Q9" t="str">
        <f t="shared" si="4"/>
        <v>-</v>
      </c>
      <c r="R9">
        <v>-2.4E-2</v>
      </c>
      <c r="S9">
        <v>-20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-0.11</v>
      </c>
      <c r="D10">
        <v>-9.4</v>
      </c>
      <c r="E10" t="str">
        <f t="shared" si="0"/>
        <v>-</v>
      </c>
      <c r="F10">
        <v>-2.9000000000000001E-2</v>
      </c>
      <c r="G10">
        <v>-24.8</v>
      </c>
      <c r="H10" t="str">
        <f t="shared" si="1"/>
        <v>-</v>
      </c>
      <c r="I10" s="1">
        <v>-0.11</v>
      </c>
      <c r="J10">
        <v>-10.1</v>
      </c>
      <c r="K10" t="str">
        <f t="shared" si="2"/>
        <v>-</v>
      </c>
      <c r="L10">
        <v>-4.4999999999999998E-2</v>
      </c>
      <c r="M10">
        <v>-41.7</v>
      </c>
      <c r="N10" t="str">
        <f t="shared" si="3"/>
        <v>-</v>
      </c>
      <c r="O10" s="1">
        <v>-0.1</v>
      </c>
      <c r="P10">
        <v>-9</v>
      </c>
      <c r="Q10" t="str">
        <f t="shared" si="4"/>
        <v>-</v>
      </c>
      <c r="R10">
        <v>-3.2000000000000001E-2</v>
      </c>
      <c r="S10">
        <v>-29.4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-0.68</v>
      </c>
      <c r="D11">
        <v>-16.2</v>
      </c>
      <c r="E11" t="str">
        <f t="shared" si="0"/>
        <v>-</v>
      </c>
      <c r="F11">
        <v>-0.04</v>
      </c>
      <c r="G11">
        <v>-15.1</v>
      </c>
      <c r="H11" t="str">
        <f t="shared" si="1"/>
        <v>-</v>
      </c>
      <c r="I11" s="1">
        <v>-1.04</v>
      </c>
      <c r="J11">
        <v>-24.9</v>
      </c>
      <c r="K11" t="str">
        <f t="shared" si="2"/>
        <v>-</v>
      </c>
      <c r="L11">
        <v>-9.4E-2</v>
      </c>
      <c r="M11">
        <v>-37</v>
      </c>
      <c r="N11" t="str">
        <f t="shared" si="3"/>
        <v>-</v>
      </c>
      <c r="O11" s="1">
        <v>-0.84</v>
      </c>
      <c r="P11">
        <v>-21.4</v>
      </c>
      <c r="Q11" t="str">
        <f t="shared" si="4"/>
        <v>-</v>
      </c>
      <c r="R11">
        <v>-8.5999999999999993E-2</v>
      </c>
      <c r="S11">
        <v>-35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-0.28999999999999998</v>
      </c>
      <c r="D12">
        <v>-23.8</v>
      </c>
      <c r="E12" t="str">
        <f t="shared" si="0"/>
        <v>-</v>
      </c>
      <c r="F12">
        <v>-2.1999999999999999E-2</v>
      </c>
      <c r="G12">
        <v>-19.8</v>
      </c>
      <c r="H12" t="str">
        <f t="shared" si="1"/>
        <v>-</v>
      </c>
      <c r="I12" s="1">
        <v>-0.12</v>
      </c>
      <c r="J12">
        <v>-10.1</v>
      </c>
      <c r="K12" t="str">
        <f t="shared" si="2"/>
        <v>-</v>
      </c>
      <c r="L12">
        <v>-7.0000000000000001E-3</v>
      </c>
      <c r="M12">
        <v>-5.0999999999999996</v>
      </c>
      <c r="N12" t="str">
        <f t="shared" si="3"/>
        <v>-</v>
      </c>
      <c r="O12" s="1">
        <v>-0.03</v>
      </c>
      <c r="P12">
        <v>-3.3</v>
      </c>
      <c r="Q12" t="str">
        <f t="shared" si="4"/>
        <v>-</v>
      </c>
      <c r="R12">
        <v>-8.9999999999999993E-3</v>
      </c>
      <c r="S12">
        <v>-9.3000000000000007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-0.2</v>
      </c>
      <c r="D13">
        <v>-14.7</v>
      </c>
      <c r="E13" t="str">
        <f t="shared" si="0"/>
        <v>-</v>
      </c>
      <c r="F13">
        <v>-0.02</v>
      </c>
      <c r="G13">
        <v>-14.7</v>
      </c>
      <c r="H13" t="str">
        <f t="shared" si="1"/>
        <v>-</v>
      </c>
      <c r="I13" s="1">
        <v>-0.13</v>
      </c>
      <c r="J13">
        <v>-10.6</v>
      </c>
      <c r="K13" t="str">
        <f t="shared" si="2"/>
        <v>-</v>
      </c>
      <c r="L13">
        <v>-1.2999999999999999E-2</v>
      </c>
      <c r="M13">
        <v>-11.4</v>
      </c>
      <c r="N13" t="str">
        <f t="shared" si="3"/>
        <v>-</v>
      </c>
      <c r="O13" s="1">
        <v>-0.13</v>
      </c>
      <c r="P13">
        <v>-10.5</v>
      </c>
      <c r="Q13" t="str">
        <f t="shared" si="4"/>
        <v>-</v>
      </c>
      <c r="R13">
        <v>-2.3E-2</v>
      </c>
      <c r="S13">
        <v>-19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-0.05</v>
      </c>
      <c r="D14">
        <v>-4.5</v>
      </c>
      <c r="E14" t="str">
        <f t="shared" si="0"/>
        <v>-</v>
      </c>
      <c r="F14">
        <v>-2.1000000000000001E-2</v>
      </c>
      <c r="G14">
        <v>-21.2</v>
      </c>
      <c r="H14" t="str">
        <f t="shared" si="1"/>
        <v>-</v>
      </c>
      <c r="I14" s="1">
        <v>-0.26</v>
      </c>
      <c r="J14">
        <v>-22</v>
      </c>
      <c r="K14" t="str">
        <f t="shared" si="2"/>
        <v>-</v>
      </c>
      <c r="L14">
        <v>-3.4000000000000002E-2</v>
      </c>
      <c r="M14">
        <v>-30.9</v>
      </c>
      <c r="N14" t="str">
        <f t="shared" si="3"/>
        <v>-</v>
      </c>
      <c r="O14" s="1">
        <v>-0.14000000000000001</v>
      </c>
      <c r="P14">
        <v>-12.5</v>
      </c>
      <c r="Q14" t="str">
        <f t="shared" si="4"/>
        <v>-</v>
      </c>
      <c r="R14">
        <v>-2.1999999999999999E-2</v>
      </c>
      <c r="S14">
        <v>-21.6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-0.59</v>
      </c>
      <c r="D15">
        <v>-14.6</v>
      </c>
      <c r="E15" t="str">
        <f t="shared" si="0"/>
        <v>-</v>
      </c>
      <c r="F15">
        <v>-0.03</v>
      </c>
      <c r="G15">
        <v>-12</v>
      </c>
      <c r="H15" t="str">
        <f t="shared" si="1"/>
        <v>-</v>
      </c>
      <c r="I15" s="1">
        <v>-0.77</v>
      </c>
      <c r="J15">
        <v>-20.3</v>
      </c>
      <c r="K15" t="str">
        <f t="shared" si="2"/>
        <v>-</v>
      </c>
      <c r="L15">
        <v>-6.6000000000000003E-2</v>
      </c>
      <c r="M15">
        <v>-29.1</v>
      </c>
      <c r="N15" t="str">
        <f t="shared" si="3"/>
        <v>-</v>
      </c>
      <c r="O15" s="1">
        <v>-1.02</v>
      </c>
      <c r="P15">
        <v>-26.6</v>
      </c>
      <c r="Q15" t="str">
        <f t="shared" si="4"/>
        <v>-</v>
      </c>
      <c r="R15">
        <v>-7.2999999999999995E-2</v>
      </c>
      <c r="S15">
        <v>-32.200000000000003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0.3</v>
      </c>
      <c r="D16">
        <v>37.5</v>
      </c>
      <c r="E16" t="str">
        <f t="shared" si="0"/>
        <v>-</v>
      </c>
      <c r="F16">
        <v>6.2E-2</v>
      </c>
      <c r="G16">
        <v>124</v>
      </c>
      <c r="H16" t="str">
        <f t="shared" si="1"/>
        <v>?</v>
      </c>
      <c r="I16" s="1">
        <v>0.3</v>
      </c>
      <c r="J16">
        <v>39</v>
      </c>
      <c r="K16" t="str">
        <f t="shared" si="2"/>
        <v>-</v>
      </c>
      <c r="L16">
        <v>5.0999999999999997E-2</v>
      </c>
      <c r="M16">
        <v>100</v>
      </c>
      <c r="N16" t="str">
        <f t="shared" si="3"/>
        <v>?</v>
      </c>
      <c r="O16" s="1">
        <v>0.26</v>
      </c>
      <c r="P16">
        <v>33.299999999999997</v>
      </c>
      <c r="Q16" t="str">
        <f t="shared" si="4"/>
        <v>-</v>
      </c>
      <c r="R16">
        <v>9.0999999999999998E-2</v>
      </c>
      <c r="S16">
        <v>178.4</v>
      </c>
      <c r="T16" s="2" t="str">
        <f t="shared" si="5"/>
        <v>?</v>
      </c>
    </row>
    <row r="17" spans="1:20">
      <c r="A17" s="11" t="s">
        <v>9</v>
      </c>
      <c r="B17" s="12" t="s">
        <v>16</v>
      </c>
      <c r="C17">
        <v>-0.18</v>
      </c>
      <c r="D17">
        <v>-13</v>
      </c>
      <c r="E17" t="str">
        <f t="shared" si="0"/>
        <v>-</v>
      </c>
      <c r="F17">
        <v>-2.9000000000000001E-2</v>
      </c>
      <c r="G17">
        <v>-21.8</v>
      </c>
      <c r="H17" t="str">
        <f t="shared" si="1"/>
        <v>-</v>
      </c>
      <c r="I17" s="1">
        <v>-0.08</v>
      </c>
      <c r="J17">
        <v>-7</v>
      </c>
      <c r="K17" t="str">
        <f t="shared" si="2"/>
        <v>-</v>
      </c>
      <c r="L17">
        <v>-1.7999999999999999E-2</v>
      </c>
      <c r="M17">
        <v>-17.100000000000001</v>
      </c>
      <c r="N17" t="str">
        <f t="shared" si="3"/>
        <v>-</v>
      </c>
      <c r="O17" s="1">
        <v>-7.0000000000000007E-2</v>
      </c>
      <c r="P17">
        <v>-6.2</v>
      </c>
      <c r="Q17" t="str">
        <f t="shared" si="4"/>
        <v>-</v>
      </c>
      <c r="R17">
        <v>-1.2E-2</v>
      </c>
      <c r="S17">
        <v>-11.7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-0.19</v>
      </c>
      <c r="D18">
        <v>-16.399999999999999</v>
      </c>
      <c r="E18" t="str">
        <f t="shared" si="0"/>
        <v>-</v>
      </c>
      <c r="F18">
        <v>-1.4999999999999999E-2</v>
      </c>
      <c r="G18">
        <v>-13.9</v>
      </c>
      <c r="H18" t="str">
        <f t="shared" si="1"/>
        <v>-</v>
      </c>
      <c r="I18" s="1">
        <v>-0.19</v>
      </c>
      <c r="J18">
        <v>-17.8</v>
      </c>
      <c r="K18" t="str">
        <f t="shared" si="2"/>
        <v>-</v>
      </c>
      <c r="L18">
        <v>-0.02</v>
      </c>
      <c r="M18">
        <v>-19</v>
      </c>
      <c r="N18" t="str">
        <f t="shared" si="3"/>
        <v>-</v>
      </c>
      <c r="O18" s="1">
        <v>-0.13</v>
      </c>
      <c r="P18">
        <v>-12.4</v>
      </c>
      <c r="Q18" t="str">
        <f t="shared" si="4"/>
        <v>-</v>
      </c>
      <c r="R18">
        <v>-2.4E-2</v>
      </c>
      <c r="S18">
        <v>-23.3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0.32</v>
      </c>
      <c r="D19">
        <v>9.9</v>
      </c>
      <c r="E19" t="str">
        <f t="shared" si="0"/>
        <v>-</v>
      </c>
      <c r="F19">
        <v>1.7000000000000001E-2</v>
      </c>
      <c r="G19">
        <v>8.4</v>
      </c>
      <c r="H19" t="str">
        <f t="shared" si="1"/>
        <v>-</v>
      </c>
      <c r="I19" s="1">
        <v>-0.62</v>
      </c>
      <c r="J19">
        <v>-19.399999999999999</v>
      </c>
      <c r="K19" t="str">
        <f t="shared" si="2"/>
        <v>-</v>
      </c>
      <c r="L19">
        <v>-3.7999999999999999E-2</v>
      </c>
      <c r="M19">
        <v>-20.2</v>
      </c>
      <c r="N19" t="str">
        <f t="shared" si="3"/>
        <v>-</v>
      </c>
      <c r="O19" s="1">
        <v>-0.39</v>
      </c>
      <c r="P19">
        <v>-12.1</v>
      </c>
      <c r="Q19" t="str">
        <f t="shared" si="4"/>
        <v>-</v>
      </c>
      <c r="R19">
        <v>-3.3000000000000002E-2</v>
      </c>
      <c r="S19">
        <v>-17.600000000000001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-0.38</v>
      </c>
      <c r="D20">
        <v>-39.6</v>
      </c>
      <c r="E20" t="str">
        <f t="shared" si="0"/>
        <v>-</v>
      </c>
      <c r="F20">
        <v>-6.0000000000000001E-3</v>
      </c>
      <c r="G20">
        <v>-7.8</v>
      </c>
      <c r="H20" t="str">
        <f t="shared" si="1"/>
        <v>-</v>
      </c>
      <c r="I20" s="1">
        <v>0.11</v>
      </c>
      <c r="J20">
        <v>14.5</v>
      </c>
      <c r="K20" t="str">
        <f t="shared" si="2"/>
        <v>-</v>
      </c>
      <c r="L20">
        <v>7.1999999999999995E-2</v>
      </c>
      <c r="M20">
        <v>171.4</v>
      </c>
      <c r="N20" t="str">
        <f t="shared" si="3"/>
        <v>?</v>
      </c>
      <c r="O20" s="1">
        <v>-0.45</v>
      </c>
      <c r="P20">
        <v>-45</v>
      </c>
      <c r="Q20" t="str">
        <f t="shared" si="4"/>
        <v>-</v>
      </c>
      <c r="R20">
        <v>3.0000000000000001E-3</v>
      </c>
      <c r="S20">
        <v>5.7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-0.08</v>
      </c>
      <c r="D21">
        <v>-6</v>
      </c>
      <c r="E21" t="str">
        <f t="shared" si="0"/>
        <v>-</v>
      </c>
      <c r="F21">
        <v>-1.7000000000000001E-2</v>
      </c>
      <c r="G21">
        <v>-13.9</v>
      </c>
      <c r="H21" t="str">
        <f t="shared" si="1"/>
        <v>-</v>
      </c>
      <c r="I21" s="1">
        <v>-0.08</v>
      </c>
      <c r="J21">
        <v>-6.8</v>
      </c>
      <c r="K21" t="str">
        <f t="shared" si="2"/>
        <v>-</v>
      </c>
      <c r="L21">
        <v>-1.2E-2</v>
      </c>
      <c r="M21">
        <v>-11.7</v>
      </c>
      <c r="N21" t="str">
        <f t="shared" si="3"/>
        <v>-</v>
      </c>
      <c r="O21" s="1">
        <v>-0.01</v>
      </c>
      <c r="P21">
        <v>-0.9</v>
      </c>
      <c r="Q21" t="str">
        <f t="shared" si="4"/>
        <v>-</v>
      </c>
      <c r="R21">
        <v>-1.4999999999999999E-2</v>
      </c>
      <c r="S21">
        <v>-14.2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-0.21</v>
      </c>
      <c r="D22">
        <v>-17.5</v>
      </c>
      <c r="E22" t="str">
        <f t="shared" si="0"/>
        <v>-</v>
      </c>
      <c r="F22">
        <v>-2.7E-2</v>
      </c>
      <c r="G22">
        <v>-25.5</v>
      </c>
      <c r="H22" t="str">
        <f t="shared" si="1"/>
        <v>-</v>
      </c>
      <c r="I22" s="1">
        <v>-0.14000000000000001</v>
      </c>
      <c r="J22">
        <v>-13.3</v>
      </c>
      <c r="K22" t="str">
        <f t="shared" si="2"/>
        <v>-</v>
      </c>
      <c r="L22">
        <v>-8.0000000000000002E-3</v>
      </c>
      <c r="M22">
        <v>-9.1</v>
      </c>
      <c r="N22" t="str">
        <f t="shared" si="3"/>
        <v>-</v>
      </c>
      <c r="O22" s="1">
        <v>-7.0000000000000007E-2</v>
      </c>
      <c r="P22">
        <v>-7.1</v>
      </c>
      <c r="Q22" t="str">
        <f t="shared" si="4"/>
        <v>-</v>
      </c>
      <c r="R22">
        <v>-1.2999999999999999E-2</v>
      </c>
      <c r="S22">
        <v>-14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-0.21</v>
      </c>
      <c r="D23">
        <v>-5.5</v>
      </c>
      <c r="E23" t="str">
        <f t="shared" si="0"/>
        <v>-</v>
      </c>
      <c r="F23">
        <v>7.0000000000000001E-3</v>
      </c>
      <c r="G23">
        <v>3.3</v>
      </c>
      <c r="H23" t="str">
        <f t="shared" si="1"/>
        <v>-</v>
      </c>
      <c r="I23" s="1">
        <v>-0.28999999999999998</v>
      </c>
      <c r="J23">
        <v>-8.3000000000000007</v>
      </c>
      <c r="K23" t="str">
        <f t="shared" si="2"/>
        <v>-</v>
      </c>
      <c r="L23">
        <v>-2.3E-2</v>
      </c>
      <c r="M23">
        <v>-12.2</v>
      </c>
      <c r="N23" t="str">
        <f t="shared" si="3"/>
        <v>-</v>
      </c>
      <c r="O23" s="1">
        <v>-0.43</v>
      </c>
      <c r="P23">
        <v>-12.3</v>
      </c>
      <c r="Q23" t="str">
        <f t="shared" si="4"/>
        <v>-</v>
      </c>
      <c r="R23">
        <v>-2.3E-2</v>
      </c>
      <c r="S23">
        <v>-12.2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0.02</v>
      </c>
      <c r="D24">
        <v>2.5</v>
      </c>
      <c r="E24" t="str">
        <f t="shared" si="0"/>
        <v>-</v>
      </c>
      <c r="F24">
        <v>2.3E-2</v>
      </c>
      <c r="G24">
        <v>35.4</v>
      </c>
      <c r="H24" t="str">
        <f t="shared" si="1"/>
        <v>-</v>
      </c>
      <c r="I24" s="1">
        <v>0.1</v>
      </c>
      <c r="J24">
        <v>14.3</v>
      </c>
      <c r="K24" t="str">
        <f t="shared" si="2"/>
        <v>-</v>
      </c>
      <c r="L24">
        <v>3.5999999999999997E-2</v>
      </c>
      <c r="M24">
        <v>80</v>
      </c>
      <c r="N24" t="str">
        <f t="shared" si="3"/>
        <v>?</v>
      </c>
      <c r="O24" s="1">
        <v>0.04</v>
      </c>
      <c r="P24">
        <v>4.9000000000000004</v>
      </c>
      <c r="Q24" t="str">
        <f t="shared" si="4"/>
        <v>-</v>
      </c>
      <c r="R24">
        <v>2.5999999999999999E-2</v>
      </c>
      <c r="S24">
        <v>43.3</v>
      </c>
      <c r="T24" s="2" t="str">
        <f t="shared" si="5"/>
        <v>-</v>
      </c>
    </row>
    <row r="25" spans="1:20">
      <c r="A25" s="11" t="s">
        <v>9</v>
      </c>
      <c r="B25" s="12" t="s">
        <v>18</v>
      </c>
      <c r="C25">
        <v>0.14000000000000001</v>
      </c>
      <c r="D25">
        <v>11.4</v>
      </c>
      <c r="E25" t="str">
        <f t="shared" si="0"/>
        <v>-</v>
      </c>
      <c r="F25">
        <v>8.9999999999999993E-3</v>
      </c>
      <c r="G25">
        <v>7.7</v>
      </c>
      <c r="H25" t="str">
        <f t="shared" si="1"/>
        <v>-</v>
      </c>
      <c r="I25" s="1">
        <v>-0.03</v>
      </c>
      <c r="J25">
        <v>-2.4</v>
      </c>
      <c r="K25" t="str">
        <f t="shared" si="2"/>
        <v>-</v>
      </c>
      <c r="L25">
        <v>-1.2999999999999999E-2</v>
      </c>
      <c r="M25">
        <v>-10.7</v>
      </c>
      <c r="N25" t="str">
        <f t="shared" si="3"/>
        <v>-</v>
      </c>
      <c r="O25" s="1">
        <v>-0.13</v>
      </c>
      <c r="P25">
        <v>-10.7</v>
      </c>
      <c r="Q25" t="str">
        <f t="shared" si="4"/>
        <v>-</v>
      </c>
      <c r="R25">
        <v>-3.2000000000000001E-2</v>
      </c>
      <c r="S25">
        <v>-26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-0.13</v>
      </c>
      <c r="D26">
        <v>-8.9</v>
      </c>
      <c r="E26" t="str">
        <f t="shared" si="0"/>
        <v>-</v>
      </c>
      <c r="F26">
        <v>6.0000000000000001E-3</v>
      </c>
      <c r="G26">
        <v>5.0999999999999996</v>
      </c>
      <c r="H26" t="str">
        <f t="shared" si="1"/>
        <v>-</v>
      </c>
      <c r="I26" s="1">
        <v>0.37</v>
      </c>
      <c r="J26">
        <v>41.1</v>
      </c>
      <c r="K26" t="str">
        <f t="shared" si="2"/>
        <v>-</v>
      </c>
      <c r="L26">
        <v>2.9000000000000001E-2</v>
      </c>
      <c r="M26">
        <v>34.5</v>
      </c>
      <c r="N26" t="str">
        <f t="shared" si="3"/>
        <v>-</v>
      </c>
      <c r="O26" s="1">
        <v>0.12</v>
      </c>
      <c r="P26">
        <v>9.6999999999999993</v>
      </c>
      <c r="Q26" t="str">
        <f t="shared" si="4"/>
        <v>-</v>
      </c>
      <c r="R26">
        <v>5.0000000000000001E-3</v>
      </c>
      <c r="S26">
        <v>4.2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1.33</v>
      </c>
      <c r="D27">
        <v>49.1</v>
      </c>
      <c r="E27" t="str">
        <f t="shared" si="0"/>
        <v>-</v>
      </c>
      <c r="F27">
        <v>3.3000000000000002E-2</v>
      </c>
      <c r="G27">
        <v>17.600000000000001</v>
      </c>
      <c r="H27" t="str">
        <f t="shared" si="1"/>
        <v>-</v>
      </c>
      <c r="I27" s="1">
        <v>0.27</v>
      </c>
      <c r="J27">
        <v>11</v>
      </c>
      <c r="K27" t="str">
        <f t="shared" si="2"/>
        <v>-</v>
      </c>
      <c r="L27">
        <v>-1.6E-2</v>
      </c>
      <c r="M27">
        <v>-9.9</v>
      </c>
      <c r="N27" t="str">
        <f t="shared" si="3"/>
        <v>-</v>
      </c>
      <c r="O27" s="1">
        <v>0.77</v>
      </c>
      <c r="P27">
        <v>34.1</v>
      </c>
      <c r="Q27" t="str">
        <f t="shared" si="4"/>
        <v>-</v>
      </c>
      <c r="R27">
        <v>0</v>
      </c>
      <c r="S27">
        <v>0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-0.03</v>
      </c>
      <c r="D28">
        <v>-3.4</v>
      </c>
      <c r="E28" t="str">
        <f t="shared" si="0"/>
        <v>-</v>
      </c>
      <c r="F28">
        <v>4.0000000000000001E-3</v>
      </c>
      <c r="G28">
        <v>4.9000000000000004</v>
      </c>
      <c r="H28" t="str">
        <f t="shared" si="1"/>
        <v>-</v>
      </c>
      <c r="I28" s="1">
        <v>-0.23</v>
      </c>
      <c r="J28">
        <v>-22.5</v>
      </c>
      <c r="K28" t="str">
        <f t="shared" si="2"/>
        <v>-</v>
      </c>
      <c r="L28">
        <v>-3.6999999999999998E-2</v>
      </c>
      <c r="M28">
        <v>-31.9</v>
      </c>
      <c r="N28" t="str">
        <f t="shared" si="3"/>
        <v>-</v>
      </c>
      <c r="O28" s="1">
        <v>-0.09</v>
      </c>
      <c r="P28">
        <v>-9.3000000000000007</v>
      </c>
      <c r="Q28" t="str">
        <f t="shared" si="4"/>
        <v>-</v>
      </c>
      <c r="R28">
        <v>-4.2999999999999997E-2</v>
      </c>
      <c r="S28">
        <v>-38.4</v>
      </c>
      <c r="T28" s="2" t="str">
        <f t="shared" si="5"/>
        <v>-</v>
      </c>
    </row>
    <row r="29" spans="1:20">
      <c r="A29" s="11" t="s">
        <v>9</v>
      </c>
      <c r="B29" s="13">
        <v>0.4</v>
      </c>
      <c r="C29">
        <v>-0.12</v>
      </c>
      <c r="D29">
        <v>-9.9</v>
      </c>
      <c r="E29" t="str">
        <f t="shared" si="0"/>
        <v>-</v>
      </c>
      <c r="F29">
        <v>-0.02</v>
      </c>
      <c r="G29">
        <v>-16.5</v>
      </c>
      <c r="H29" t="str">
        <f t="shared" si="1"/>
        <v>-</v>
      </c>
      <c r="I29" s="1">
        <v>0.03</v>
      </c>
      <c r="J29">
        <v>3.1</v>
      </c>
      <c r="K29" t="str">
        <f t="shared" si="2"/>
        <v>-</v>
      </c>
      <c r="L29">
        <v>-1E-3</v>
      </c>
      <c r="M29">
        <v>-1.2</v>
      </c>
      <c r="N29" t="str">
        <f t="shared" si="3"/>
        <v>-</v>
      </c>
      <c r="O29" s="1">
        <v>-0.02</v>
      </c>
      <c r="P29">
        <v>-1.9</v>
      </c>
      <c r="Q29" t="str">
        <f t="shared" si="4"/>
        <v>-</v>
      </c>
      <c r="R29">
        <v>3.0000000000000001E-3</v>
      </c>
      <c r="S29">
        <v>3.4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-0.25</v>
      </c>
      <c r="D30">
        <v>-18.8</v>
      </c>
      <c r="E30" t="str">
        <f t="shared" si="0"/>
        <v>-</v>
      </c>
      <c r="F30">
        <v>-2.4E-2</v>
      </c>
      <c r="G30">
        <v>-18.2</v>
      </c>
      <c r="H30" t="str">
        <f t="shared" si="1"/>
        <v>-</v>
      </c>
      <c r="I30" s="1">
        <v>0.17</v>
      </c>
      <c r="J30">
        <v>19.5</v>
      </c>
      <c r="K30" t="str">
        <f t="shared" si="2"/>
        <v>-</v>
      </c>
      <c r="L30">
        <v>-1E-3</v>
      </c>
      <c r="M30">
        <v>-1.1000000000000001</v>
      </c>
      <c r="N30" t="str">
        <f t="shared" si="3"/>
        <v>-</v>
      </c>
      <c r="O30" s="1">
        <v>-0.11</v>
      </c>
      <c r="P30">
        <v>-11</v>
      </c>
      <c r="Q30" t="str">
        <f t="shared" si="4"/>
        <v>-</v>
      </c>
      <c r="R30">
        <v>2E-3</v>
      </c>
      <c r="S30">
        <v>2.4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0.68</v>
      </c>
      <c r="D31">
        <v>31.9</v>
      </c>
      <c r="E31" t="str">
        <f t="shared" si="0"/>
        <v>-</v>
      </c>
      <c r="F31">
        <v>8.0000000000000002E-3</v>
      </c>
      <c r="G31">
        <v>4.7</v>
      </c>
      <c r="H31" t="str">
        <f t="shared" si="1"/>
        <v>-</v>
      </c>
      <c r="I31" s="1">
        <v>0.38</v>
      </c>
      <c r="J31">
        <v>19.899999999999999</v>
      </c>
      <c r="K31" t="str">
        <f t="shared" si="2"/>
        <v>-</v>
      </c>
      <c r="L31">
        <v>1.4E-2</v>
      </c>
      <c r="M31">
        <v>11.6</v>
      </c>
      <c r="N31" t="str">
        <f t="shared" si="3"/>
        <v>-</v>
      </c>
      <c r="O31" s="1">
        <v>0.05</v>
      </c>
      <c r="P31">
        <v>2.4</v>
      </c>
      <c r="Q31" t="str">
        <f t="shared" si="4"/>
        <v>-</v>
      </c>
      <c r="R31">
        <v>0.01</v>
      </c>
      <c r="S31">
        <v>8.1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-0.68</v>
      </c>
      <c r="D32">
        <v>-50.7</v>
      </c>
      <c r="E32" t="str">
        <f t="shared" si="0"/>
        <v>?</v>
      </c>
      <c r="F32">
        <v>-6.6000000000000003E-2</v>
      </c>
      <c r="G32">
        <v>-50.4</v>
      </c>
      <c r="H32" t="str">
        <f t="shared" si="1"/>
        <v>?</v>
      </c>
      <c r="I32" s="1">
        <v>0.09</v>
      </c>
      <c r="J32">
        <v>13.4</v>
      </c>
      <c r="K32" t="str">
        <f t="shared" si="2"/>
        <v>-</v>
      </c>
      <c r="L32">
        <v>8.0000000000000002E-3</v>
      </c>
      <c r="M32">
        <v>12.3</v>
      </c>
      <c r="N32" t="str">
        <f t="shared" si="3"/>
        <v>-</v>
      </c>
      <c r="O32" s="1">
        <v>-0.26</v>
      </c>
      <c r="P32">
        <v>-28.3</v>
      </c>
      <c r="Q32" t="str">
        <f t="shared" si="4"/>
        <v>-</v>
      </c>
      <c r="R32">
        <v>-2.1999999999999999E-2</v>
      </c>
      <c r="S32">
        <v>-22.4</v>
      </c>
      <c r="T32" s="2" t="str">
        <f t="shared" si="5"/>
        <v>-</v>
      </c>
    </row>
    <row r="33" spans="1:20">
      <c r="A33" s="11" t="s">
        <v>9</v>
      </c>
      <c r="B33" s="13">
        <v>0.5</v>
      </c>
      <c r="C33">
        <v>-0.17</v>
      </c>
      <c r="D33">
        <v>-13.3</v>
      </c>
      <c r="E33" t="str">
        <f t="shared" si="0"/>
        <v>-</v>
      </c>
      <c r="F33">
        <v>-1.0999999999999999E-2</v>
      </c>
      <c r="G33">
        <v>-9.1999999999999993</v>
      </c>
      <c r="H33" t="str">
        <f t="shared" si="1"/>
        <v>-</v>
      </c>
      <c r="I33" s="1">
        <v>-0.19</v>
      </c>
      <c r="J33">
        <v>-16.2</v>
      </c>
      <c r="K33" t="str">
        <f t="shared" si="2"/>
        <v>-</v>
      </c>
      <c r="L33">
        <v>-2.5999999999999999E-2</v>
      </c>
      <c r="M33">
        <v>-23.4</v>
      </c>
      <c r="N33" t="str">
        <f t="shared" si="3"/>
        <v>-</v>
      </c>
      <c r="O33" s="1">
        <v>-7.0000000000000007E-2</v>
      </c>
      <c r="P33">
        <v>-6.9</v>
      </c>
      <c r="Q33" t="str">
        <f t="shared" si="4"/>
        <v>-</v>
      </c>
      <c r="R33">
        <v>-1.2E-2</v>
      </c>
      <c r="S33">
        <v>-13.3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-0.45</v>
      </c>
      <c r="D34">
        <v>-33.799999999999997</v>
      </c>
      <c r="E34" t="str">
        <f t="shared" si="0"/>
        <v>-</v>
      </c>
      <c r="F34">
        <v>-3.5999999999999997E-2</v>
      </c>
      <c r="G34">
        <v>-29.5</v>
      </c>
      <c r="H34" t="str">
        <f t="shared" si="1"/>
        <v>-</v>
      </c>
      <c r="I34" s="1">
        <v>-0.1</v>
      </c>
      <c r="J34">
        <v>-10.6</v>
      </c>
      <c r="K34" t="str">
        <f t="shared" si="2"/>
        <v>-</v>
      </c>
      <c r="L34">
        <v>-1.7999999999999999E-2</v>
      </c>
      <c r="M34">
        <v>-21.2</v>
      </c>
      <c r="N34" t="str">
        <f t="shared" si="3"/>
        <v>-</v>
      </c>
      <c r="O34" s="1">
        <v>-0.11</v>
      </c>
      <c r="P34">
        <v>-12</v>
      </c>
      <c r="Q34" t="str">
        <f t="shared" si="4"/>
        <v>-</v>
      </c>
      <c r="R34">
        <v>-2.1999999999999999E-2</v>
      </c>
      <c r="S34">
        <v>-25.3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0.59</v>
      </c>
      <c r="D35">
        <v>22.7</v>
      </c>
      <c r="E35" t="str">
        <f t="shared" si="0"/>
        <v>-</v>
      </c>
      <c r="F35">
        <v>0.04</v>
      </c>
      <c r="G35">
        <v>28</v>
      </c>
      <c r="H35" t="str">
        <f t="shared" si="1"/>
        <v>-</v>
      </c>
      <c r="I35" s="1">
        <v>-0.33</v>
      </c>
      <c r="J35">
        <v>-11.4</v>
      </c>
      <c r="K35" t="str">
        <f t="shared" si="2"/>
        <v>-</v>
      </c>
      <c r="L35">
        <v>-4.0000000000000001E-3</v>
      </c>
      <c r="M35">
        <v>-2.9</v>
      </c>
      <c r="N35" t="str">
        <f t="shared" si="3"/>
        <v>-</v>
      </c>
      <c r="O35" s="1">
        <v>-0.85</v>
      </c>
      <c r="P35">
        <v>-26.7</v>
      </c>
      <c r="Q35" t="str">
        <f t="shared" si="4"/>
        <v>-</v>
      </c>
      <c r="R35">
        <v>-2.5000000000000001E-2</v>
      </c>
      <c r="S35">
        <v>-16.899999999999999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-0.28999999999999998</v>
      </c>
      <c r="D36">
        <v>-28.2</v>
      </c>
      <c r="E36" t="str">
        <f t="shared" si="0"/>
        <v>-</v>
      </c>
      <c r="F36">
        <v>-0.03</v>
      </c>
      <c r="G36">
        <v>-25.9</v>
      </c>
      <c r="H36" t="str">
        <f t="shared" si="1"/>
        <v>-</v>
      </c>
      <c r="I36" s="1">
        <v>-0.12</v>
      </c>
      <c r="J36">
        <v>-14.5</v>
      </c>
      <c r="K36" t="str">
        <f t="shared" si="2"/>
        <v>-</v>
      </c>
      <c r="L36">
        <v>3.2000000000000001E-2</v>
      </c>
      <c r="M36">
        <v>54.2</v>
      </c>
      <c r="N36" t="str">
        <f t="shared" si="3"/>
        <v>?</v>
      </c>
      <c r="O36" s="1">
        <v>-0.42</v>
      </c>
      <c r="P36">
        <v>-39.6</v>
      </c>
      <c r="Q36" t="str">
        <f t="shared" si="4"/>
        <v>-</v>
      </c>
      <c r="R36">
        <v>-6.3E-2</v>
      </c>
      <c r="S36">
        <v>-47.4</v>
      </c>
      <c r="T36" s="2" t="str">
        <f t="shared" si="5"/>
        <v>-</v>
      </c>
    </row>
    <row r="37" spans="1:20">
      <c r="A37" s="11" t="s">
        <v>9</v>
      </c>
      <c r="B37" s="13">
        <v>0.6</v>
      </c>
      <c r="C37">
        <v>-0.19</v>
      </c>
      <c r="D37">
        <v>-14.5</v>
      </c>
      <c r="E37" t="str">
        <f t="shared" si="0"/>
        <v>-</v>
      </c>
      <c r="F37">
        <v>-8.9999999999999993E-3</v>
      </c>
      <c r="G37">
        <v>-7.4</v>
      </c>
      <c r="H37" t="str">
        <f t="shared" si="1"/>
        <v>-</v>
      </c>
      <c r="I37" s="1">
        <v>-0.1</v>
      </c>
      <c r="J37">
        <v>-7.9</v>
      </c>
      <c r="K37" t="str">
        <f t="shared" si="2"/>
        <v>-</v>
      </c>
      <c r="L37">
        <v>-1.4999999999999999E-2</v>
      </c>
      <c r="M37">
        <v>-12.7</v>
      </c>
      <c r="N37" t="str">
        <f t="shared" si="3"/>
        <v>-</v>
      </c>
      <c r="O37" s="1">
        <v>-0.14000000000000001</v>
      </c>
      <c r="P37">
        <v>-11.3</v>
      </c>
      <c r="Q37" t="str">
        <f t="shared" si="4"/>
        <v>-</v>
      </c>
      <c r="R37">
        <v>-1.9E-2</v>
      </c>
      <c r="S37">
        <v>-17.600000000000001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-0.19</v>
      </c>
      <c r="D38">
        <v>-17.100000000000001</v>
      </c>
      <c r="E38" t="str">
        <f t="shared" si="0"/>
        <v>-</v>
      </c>
      <c r="F38">
        <v>8.9999999999999993E-3</v>
      </c>
      <c r="G38">
        <v>10.1</v>
      </c>
      <c r="H38" t="str">
        <f t="shared" si="1"/>
        <v>-</v>
      </c>
      <c r="I38" s="1">
        <v>-0.23</v>
      </c>
      <c r="J38">
        <v>-20.9</v>
      </c>
      <c r="K38" t="str">
        <f t="shared" si="2"/>
        <v>-</v>
      </c>
      <c r="L38">
        <v>-0.01</v>
      </c>
      <c r="M38">
        <v>-10.4</v>
      </c>
      <c r="N38" t="str">
        <f t="shared" si="3"/>
        <v>-</v>
      </c>
      <c r="O38" s="1">
        <v>-0.22</v>
      </c>
      <c r="P38">
        <v>-19.8</v>
      </c>
      <c r="Q38" t="str">
        <f t="shared" si="4"/>
        <v>-</v>
      </c>
      <c r="R38">
        <v>-2.4E-2</v>
      </c>
      <c r="S38">
        <v>-23.1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-0.1</v>
      </c>
      <c r="D39">
        <v>-3</v>
      </c>
      <c r="E39" t="str">
        <f t="shared" si="0"/>
        <v>-</v>
      </c>
      <c r="F39">
        <v>7.0000000000000001E-3</v>
      </c>
      <c r="G39">
        <v>3.4</v>
      </c>
      <c r="H39" t="str">
        <f t="shared" si="1"/>
        <v>-</v>
      </c>
      <c r="I39" s="1">
        <v>-0.59</v>
      </c>
      <c r="J39">
        <v>-19</v>
      </c>
      <c r="K39" t="str">
        <f t="shared" si="2"/>
        <v>-</v>
      </c>
      <c r="L39">
        <v>-2.9000000000000001E-2</v>
      </c>
      <c r="M39">
        <v>-19.100000000000001</v>
      </c>
      <c r="N39" t="str">
        <f t="shared" si="3"/>
        <v>-</v>
      </c>
      <c r="O39" s="1">
        <v>-0.44</v>
      </c>
      <c r="P39">
        <v>-13.6</v>
      </c>
      <c r="Q39" t="str">
        <f t="shared" si="4"/>
        <v>-</v>
      </c>
      <c r="R39">
        <v>-2.5000000000000001E-2</v>
      </c>
      <c r="S39">
        <v>-14.9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-0.64</v>
      </c>
      <c r="D40">
        <v>-50.4</v>
      </c>
      <c r="E40" t="str">
        <f t="shared" si="0"/>
        <v>?</v>
      </c>
      <c r="F40">
        <v>-4.8000000000000001E-2</v>
      </c>
      <c r="G40">
        <v>-36.4</v>
      </c>
      <c r="H40" t="str">
        <f t="shared" si="1"/>
        <v>-</v>
      </c>
      <c r="I40" s="1">
        <v>-0.17</v>
      </c>
      <c r="J40">
        <v>-19.100000000000001</v>
      </c>
      <c r="K40" t="str">
        <f t="shared" si="2"/>
        <v>-</v>
      </c>
      <c r="L40">
        <v>2E-3</v>
      </c>
      <c r="M40">
        <v>2.9</v>
      </c>
      <c r="N40" t="str">
        <f t="shared" si="3"/>
        <v>-</v>
      </c>
      <c r="O40" s="1">
        <v>-0.13</v>
      </c>
      <c r="P40">
        <v>-13.3</v>
      </c>
      <c r="Q40" t="str">
        <f t="shared" si="4"/>
        <v>-</v>
      </c>
      <c r="R40">
        <v>3.6999999999999998E-2</v>
      </c>
      <c r="S40">
        <v>74</v>
      </c>
      <c r="T40" s="2" t="str">
        <f t="shared" si="5"/>
        <v>?</v>
      </c>
    </row>
    <row r="41" spans="1:20">
      <c r="A41" s="11" t="s">
        <v>9</v>
      </c>
      <c r="B41" s="13">
        <v>0.7</v>
      </c>
      <c r="C41">
        <v>-0.06</v>
      </c>
      <c r="D41">
        <v>-4.4000000000000004</v>
      </c>
      <c r="E41" t="str">
        <f t="shared" si="0"/>
        <v>-</v>
      </c>
      <c r="F41">
        <v>-1.9E-2</v>
      </c>
      <c r="G41">
        <v>-14</v>
      </c>
      <c r="H41" t="str">
        <f t="shared" si="1"/>
        <v>-</v>
      </c>
      <c r="I41" s="1">
        <v>-0.13</v>
      </c>
      <c r="J41">
        <v>-9.6</v>
      </c>
      <c r="K41" t="str">
        <f t="shared" si="2"/>
        <v>-</v>
      </c>
      <c r="L41">
        <v>-1.9E-2</v>
      </c>
      <c r="M41">
        <v>-15.2</v>
      </c>
      <c r="N41" t="str">
        <f t="shared" si="3"/>
        <v>-</v>
      </c>
      <c r="O41" s="1">
        <v>-0.22</v>
      </c>
      <c r="P41">
        <v>-16.100000000000001</v>
      </c>
      <c r="Q41" t="str">
        <f t="shared" si="4"/>
        <v>-</v>
      </c>
      <c r="R41">
        <v>-3.5000000000000003E-2</v>
      </c>
      <c r="S41">
        <v>-27.1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-0.14000000000000001</v>
      </c>
      <c r="D42">
        <v>-12.2</v>
      </c>
      <c r="E42" t="str">
        <f t="shared" si="0"/>
        <v>-</v>
      </c>
      <c r="F42">
        <v>-2.1000000000000001E-2</v>
      </c>
      <c r="G42">
        <v>-20</v>
      </c>
      <c r="H42" t="str">
        <f t="shared" si="1"/>
        <v>-</v>
      </c>
      <c r="I42" s="1">
        <v>-0.03</v>
      </c>
      <c r="J42">
        <v>-2.8</v>
      </c>
      <c r="K42" t="str">
        <f t="shared" si="2"/>
        <v>-</v>
      </c>
      <c r="L42">
        <v>-1.7999999999999999E-2</v>
      </c>
      <c r="M42">
        <v>-18.899999999999999</v>
      </c>
      <c r="N42" t="str">
        <f t="shared" si="3"/>
        <v>-</v>
      </c>
      <c r="O42" s="1">
        <v>-0.14000000000000001</v>
      </c>
      <c r="P42">
        <v>-12.6</v>
      </c>
      <c r="Q42" t="str">
        <f t="shared" si="4"/>
        <v>-</v>
      </c>
      <c r="R42">
        <v>-4.2999999999999997E-2</v>
      </c>
      <c r="S42">
        <v>-40.6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-0.84</v>
      </c>
      <c r="D43">
        <v>-20</v>
      </c>
      <c r="E43" t="str">
        <f t="shared" si="0"/>
        <v>-</v>
      </c>
      <c r="F43">
        <v>-2.7E-2</v>
      </c>
      <c r="G43">
        <v>-11.5</v>
      </c>
      <c r="H43" t="str">
        <f t="shared" si="1"/>
        <v>-</v>
      </c>
      <c r="I43" s="1">
        <v>-1.1299999999999999</v>
      </c>
      <c r="J43">
        <v>-29.3</v>
      </c>
      <c r="K43" t="str">
        <f t="shared" si="2"/>
        <v>-</v>
      </c>
      <c r="L43">
        <v>-6.6000000000000003E-2</v>
      </c>
      <c r="M43">
        <v>-29.6</v>
      </c>
      <c r="N43" t="str">
        <f t="shared" si="3"/>
        <v>-</v>
      </c>
      <c r="O43" s="1">
        <v>-0.86</v>
      </c>
      <c r="P43">
        <v>-22.2</v>
      </c>
      <c r="Q43" t="str">
        <f t="shared" si="4"/>
        <v>-</v>
      </c>
      <c r="R43">
        <v>-7.0000000000000007E-2</v>
      </c>
      <c r="S43">
        <v>-31.1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0.23</v>
      </c>
      <c r="D44">
        <v>30.7</v>
      </c>
      <c r="E44" t="str">
        <f t="shared" si="0"/>
        <v>-</v>
      </c>
      <c r="F44">
        <v>0.04</v>
      </c>
      <c r="G44">
        <v>57.1</v>
      </c>
      <c r="H44" t="str">
        <f t="shared" si="1"/>
        <v>?</v>
      </c>
      <c r="I44" s="1">
        <v>-0.3</v>
      </c>
      <c r="J44">
        <v>-25.2</v>
      </c>
      <c r="K44" t="str">
        <f t="shared" si="2"/>
        <v>-</v>
      </c>
      <c r="L44">
        <v>4.2999999999999997E-2</v>
      </c>
      <c r="M44">
        <v>59.7</v>
      </c>
      <c r="N44" t="str">
        <f t="shared" si="3"/>
        <v>?</v>
      </c>
      <c r="O44" s="1">
        <v>-0.35</v>
      </c>
      <c r="P44">
        <v>-30.2</v>
      </c>
      <c r="Q44" t="str">
        <f t="shared" si="4"/>
        <v>-</v>
      </c>
      <c r="R44">
        <v>1.7999999999999999E-2</v>
      </c>
      <c r="S44">
        <v>29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7.0000000000000007E-2</v>
      </c>
      <c r="D45">
        <v>5.0999999999999996</v>
      </c>
      <c r="E45" t="str">
        <f t="shared" si="0"/>
        <v>-</v>
      </c>
      <c r="F45">
        <v>-3.5999999999999997E-2</v>
      </c>
      <c r="G45">
        <v>-23.5</v>
      </c>
      <c r="H45" t="str">
        <f t="shared" si="1"/>
        <v>-</v>
      </c>
      <c r="I45" s="1">
        <v>-0.75</v>
      </c>
      <c r="J45">
        <v>-35.9</v>
      </c>
      <c r="K45" t="str">
        <f t="shared" si="2"/>
        <v>-</v>
      </c>
      <c r="L45">
        <v>-0.04</v>
      </c>
      <c r="M45">
        <v>-25.8</v>
      </c>
      <c r="N45" t="str">
        <f t="shared" si="3"/>
        <v>-</v>
      </c>
      <c r="O45" s="1">
        <v>-1.23</v>
      </c>
      <c r="P45">
        <v>-47.3</v>
      </c>
      <c r="Q45" t="str">
        <f t="shared" si="4"/>
        <v>-</v>
      </c>
      <c r="R45">
        <v>-6.2E-2</v>
      </c>
      <c r="S45">
        <v>-35.6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-0.28999999999999998</v>
      </c>
      <c r="D46">
        <v>-20.399999999999999</v>
      </c>
      <c r="E46" t="str">
        <f t="shared" si="0"/>
        <v>-</v>
      </c>
      <c r="F46">
        <v>-1.9E-2</v>
      </c>
      <c r="G46">
        <v>-19.8</v>
      </c>
      <c r="H46" t="str">
        <f t="shared" si="1"/>
        <v>-</v>
      </c>
      <c r="I46" s="1">
        <v>-1.3</v>
      </c>
      <c r="J46">
        <v>-51.2</v>
      </c>
      <c r="K46" t="str">
        <f t="shared" si="2"/>
        <v>?</v>
      </c>
      <c r="L46">
        <v>-0.13600000000000001</v>
      </c>
      <c r="M46">
        <v>-65.099999999999994</v>
      </c>
      <c r="N46" t="str">
        <f t="shared" si="3"/>
        <v>?</v>
      </c>
      <c r="O46" s="1">
        <v>-1.47</v>
      </c>
      <c r="P46">
        <v>-56.1</v>
      </c>
      <c r="Q46" t="str">
        <f t="shared" si="4"/>
        <v>?</v>
      </c>
      <c r="R46">
        <v>-0.14099999999999999</v>
      </c>
      <c r="S46">
        <v>-65.3</v>
      </c>
      <c r="T46" s="2" t="str">
        <f t="shared" si="5"/>
        <v>?</v>
      </c>
    </row>
    <row r="47" spans="1:20">
      <c r="A47" s="11" t="s">
        <v>12</v>
      </c>
      <c r="B47" s="13">
        <v>0.8</v>
      </c>
      <c r="C47">
        <v>-1.21</v>
      </c>
      <c r="D47">
        <v>-26.9</v>
      </c>
      <c r="E47" t="str">
        <f t="shared" si="0"/>
        <v>-</v>
      </c>
      <c r="F47">
        <v>-3.4000000000000002E-2</v>
      </c>
      <c r="G47">
        <v>-13.8</v>
      </c>
      <c r="H47" t="str">
        <f t="shared" si="1"/>
        <v>-</v>
      </c>
      <c r="I47" s="1">
        <v>-3.94</v>
      </c>
      <c r="J47">
        <v>-56</v>
      </c>
      <c r="K47" t="str">
        <f t="shared" si="2"/>
        <v>?</v>
      </c>
      <c r="L47">
        <v>-6.9000000000000006E-2</v>
      </c>
      <c r="M47">
        <v>-29.1</v>
      </c>
      <c r="N47" t="str">
        <f t="shared" si="3"/>
        <v>-</v>
      </c>
      <c r="O47" s="1">
        <v>-4.43</v>
      </c>
      <c r="P47">
        <v>-58.2</v>
      </c>
      <c r="Q47" t="str">
        <f t="shared" si="4"/>
        <v>?</v>
      </c>
      <c r="R47">
        <v>-0.09</v>
      </c>
      <c r="S47">
        <v>-36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-4.42</v>
      </c>
      <c r="D48">
        <v>-80.099999999999994</v>
      </c>
      <c r="E48" t="str">
        <f t="shared" si="0"/>
        <v>?</v>
      </c>
      <c r="F48">
        <v>4.0000000000000001E-3</v>
      </c>
      <c r="G48">
        <v>3</v>
      </c>
      <c r="H48" t="str">
        <f t="shared" si="1"/>
        <v>-</v>
      </c>
      <c r="I48" s="1">
        <v>-6.69</v>
      </c>
      <c r="J48">
        <v>-86.5</v>
      </c>
      <c r="K48" t="str">
        <f t="shared" si="2"/>
        <v>?</v>
      </c>
      <c r="L48">
        <v>-0.14499999999999999</v>
      </c>
      <c r="M48">
        <v>-57.5</v>
      </c>
      <c r="N48" t="str">
        <f t="shared" si="3"/>
        <v>?</v>
      </c>
      <c r="O48" s="1">
        <v>-7.1</v>
      </c>
      <c r="P48">
        <v>-88.9</v>
      </c>
      <c r="Q48" t="str">
        <f t="shared" si="4"/>
        <v>?</v>
      </c>
      <c r="R48">
        <v>-0.157</v>
      </c>
      <c r="S48">
        <v>-65.400000000000006</v>
      </c>
      <c r="T48" s="2" t="str">
        <f t="shared" si="5"/>
        <v>?</v>
      </c>
    </row>
    <row r="49" spans="1:20">
      <c r="A49" s="11" t="s">
        <v>9</v>
      </c>
      <c r="B49" s="13">
        <v>0.9</v>
      </c>
      <c r="C49">
        <v>-11.06</v>
      </c>
      <c r="D49">
        <v>-84.1</v>
      </c>
      <c r="E49" t="str">
        <f t="shared" si="0"/>
        <v>?</v>
      </c>
      <c r="F49">
        <v>-0.51300000000000001</v>
      </c>
      <c r="G49">
        <v>-77.8</v>
      </c>
      <c r="H49" t="str">
        <f t="shared" si="1"/>
        <v>?</v>
      </c>
      <c r="I49" s="1">
        <v>-12.12</v>
      </c>
      <c r="J49">
        <v>-86.1</v>
      </c>
      <c r="K49" t="str">
        <f t="shared" si="2"/>
        <v>?</v>
      </c>
      <c r="L49">
        <v>-0.496</v>
      </c>
      <c r="M49">
        <v>-79</v>
      </c>
      <c r="N49" t="str">
        <f t="shared" si="3"/>
        <v>?</v>
      </c>
      <c r="O49" s="1">
        <v>-12.1</v>
      </c>
      <c r="P49">
        <v>-86.3</v>
      </c>
      <c r="Q49" t="str">
        <f t="shared" si="4"/>
        <v>?</v>
      </c>
      <c r="R49">
        <v>-0.499</v>
      </c>
      <c r="S49">
        <v>-79.2</v>
      </c>
      <c r="T49" s="2" t="str">
        <f t="shared" si="5"/>
        <v>?</v>
      </c>
    </row>
    <row r="50" spans="1:20">
      <c r="A50" s="11" t="s">
        <v>11</v>
      </c>
      <c r="B50" s="13">
        <v>0.9</v>
      </c>
      <c r="C50">
        <v>-11.04</v>
      </c>
      <c r="D50">
        <v>-86.2</v>
      </c>
      <c r="E50" t="str">
        <f t="shared" si="0"/>
        <v>?</v>
      </c>
      <c r="F50">
        <v>-0.35199999999999998</v>
      </c>
      <c r="G50">
        <v>-79.099999999999994</v>
      </c>
      <c r="H50" t="str">
        <f t="shared" si="1"/>
        <v>?</v>
      </c>
      <c r="I50" s="1">
        <v>-10.54</v>
      </c>
      <c r="J50">
        <v>-87.1</v>
      </c>
      <c r="K50" t="str">
        <f t="shared" si="2"/>
        <v>?</v>
      </c>
      <c r="L50">
        <v>-0.503</v>
      </c>
      <c r="M50">
        <v>-87</v>
      </c>
      <c r="N50" t="str">
        <f t="shared" si="3"/>
        <v>?</v>
      </c>
      <c r="O50" s="1">
        <v>-10.49</v>
      </c>
      <c r="P50">
        <v>-86.7</v>
      </c>
      <c r="Q50" t="str">
        <f t="shared" si="4"/>
        <v>?</v>
      </c>
      <c r="R50">
        <v>-0.51</v>
      </c>
      <c r="S50">
        <v>-88.4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-4.68</v>
      </c>
      <c r="D51">
        <v>-51.4</v>
      </c>
      <c r="E51" t="str">
        <f t="shared" si="0"/>
        <v>?</v>
      </c>
      <c r="F51">
        <v>-0.105</v>
      </c>
      <c r="G51">
        <v>-36</v>
      </c>
      <c r="H51" t="str">
        <f t="shared" si="1"/>
        <v>-</v>
      </c>
      <c r="I51" s="1">
        <v>-7.1</v>
      </c>
      <c r="J51">
        <v>-63.3</v>
      </c>
      <c r="K51" t="str">
        <f t="shared" si="2"/>
        <v>?</v>
      </c>
      <c r="L51">
        <v>-0.48199999999999998</v>
      </c>
      <c r="M51">
        <v>-77.5</v>
      </c>
      <c r="N51" t="str">
        <f t="shared" si="3"/>
        <v>?</v>
      </c>
      <c r="O51" s="1">
        <v>-7.34</v>
      </c>
      <c r="P51">
        <v>-64.8</v>
      </c>
      <c r="Q51" t="str">
        <f t="shared" si="4"/>
        <v>?</v>
      </c>
      <c r="R51">
        <v>-0.47799999999999998</v>
      </c>
      <c r="S51">
        <v>-78.2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-13.89</v>
      </c>
      <c r="D52">
        <v>-85.3</v>
      </c>
      <c r="E52" t="str">
        <f t="shared" si="0"/>
        <v>?</v>
      </c>
      <c r="F52">
        <v>-0.32200000000000001</v>
      </c>
      <c r="G52">
        <v>-63.9</v>
      </c>
      <c r="H52" t="str">
        <f t="shared" si="1"/>
        <v>?</v>
      </c>
      <c r="I52" s="1">
        <v>-13.95</v>
      </c>
      <c r="J52">
        <v>-86.5</v>
      </c>
      <c r="K52" t="str">
        <f t="shared" si="2"/>
        <v>?</v>
      </c>
      <c r="L52">
        <v>-0.30099999999999999</v>
      </c>
      <c r="M52">
        <v>-65.3</v>
      </c>
      <c r="N52" t="str">
        <f t="shared" si="3"/>
        <v>?</v>
      </c>
      <c r="O52" s="1">
        <v>-13.98</v>
      </c>
      <c r="P52">
        <v>-87.2</v>
      </c>
      <c r="Q52" t="str">
        <f t="shared" si="4"/>
        <v>?</v>
      </c>
      <c r="R52">
        <v>-0.32800000000000001</v>
      </c>
      <c r="S52">
        <v>-69.5</v>
      </c>
      <c r="T52" s="2" t="str">
        <f t="shared" si="5"/>
        <v>?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-1.0539583333333333</v>
      </c>
      <c r="D56">
        <f>AVERAGE(D$5:D$52)</f>
        <v>-13.389583333333334</v>
      </c>
      <c r="F56">
        <f>AVERAGE(F$5:F$52)</f>
        <v>-3.5874999999999997E-2</v>
      </c>
      <c r="G56">
        <f>AVERAGE(G$5:G$52)</f>
        <v>-8.3687500000000004</v>
      </c>
      <c r="H56" s="25"/>
      <c r="I56" s="1">
        <f>AVERAGE(I$5:I$52)</f>
        <v>-1.3089583333333332</v>
      </c>
      <c r="J56">
        <f>AVERAGE(J$5:J$52)</f>
        <v>-14.352083333333333</v>
      </c>
      <c r="L56">
        <f>AVERAGE(L$5:L$52)</f>
        <v>-5.547916666666667E-2</v>
      </c>
      <c r="M56">
        <f>AVERAGE(M$5:M$52)</f>
        <v>-8.9687500000000018</v>
      </c>
      <c r="N56" s="2"/>
      <c r="O56" s="25">
        <f>AVERAGE(O$5:O$52)</f>
        <v>-1.3718750000000002</v>
      </c>
      <c r="P56">
        <f>AVERAGE(P$5:P$52)</f>
        <v>-18.577083333333334</v>
      </c>
      <c r="R56">
        <f>AVERAGE(R$5:R$52)</f>
        <v>-6.385416666666667E-2</v>
      </c>
      <c r="S56">
        <f>AVERAGE(S$5:S$52)</f>
        <v>-17.708333333333339</v>
      </c>
      <c r="T56" s="25"/>
    </row>
    <row r="57" spans="1:20">
      <c r="B57" s="4" t="s">
        <v>20</v>
      </c>
      <c r="C57" s="25">
        <f>MEDIAN(C$5:C$52)</f>
        <v>-0.185</v>
      </c>
      <c r="D57">
        <f>MEDIAN(D$5:D$52)</f>
        <v>-13.15</v>
      </c>
      <c r="F57">
        <f>MEDIAN(F$5:F$52)</f>
        <v>-0.02</v>
      </c>
      <c r="G57">
        <f>MEDIAN(G$5:G$52)</f>
        <v>-13.95</v>
      </c>
      <c r="H57" s="25"/>
      <c r="I57" s="1">
        <f>MEDIAN(I$5:I$52)</f>
        <v>-0.13500000000000001</v>
      </c>
      <c r="J57">
        <f>MEDIAN(J$5:J$52)</f>
        <v>-11</v>
      </c>
      <c r="L57">
        <f>MEDIAN(L$5:L$52)</f>
        <v>-1.7999999999999999E-2</v>
      </c>
      <c r="M57">
        <f>MEDIAN(M$5:M$52)</f>
        <v>-16.149999999999999</v>
      </c>
      <c r="N57" s="2"/>
      <c r="O57" s="25">
        <f>MEDIAN(O$5:O$52)</f>
        <v>-0.14000000000000001</v>
      </c>
      <c r="P57">
        <f>MEDIAN(P$5:P$52)</f>
        <v>-12.45</v>
      </c>
      <c r="R57">
        <f>MEDIAN(R$5:R$52)</f>
        <v>-2.35E-2</v>
      </c>
      <c r="S57">
        <f>MEDIAN(S$5:S$52)</f>
        <v>-19.5</v>
      </c>
      <c r="T57" s="25"/>
    </row>
    <row r="58" spans="1:20">
      <c r="B58" s="4" t="s">
        <v>21</v>
      </c>
      <c r="C58" s="25">
        <f>STDEV(C$5:C$52)</f>
        <v>3.0410592636506544</v>
      </c>
      <c r="D58">
        <f>STDEV(D$5:D$52)</f>
        <v>31.330559071577202</v>
      </c>
      <c r="F58">
        <f>STDEV(F$5:F$52)</f>
        <v>0.1012365304936068</v>
      </c>
      <c r="G58">
        <f>STDEV(G$5:G$52)</f>
        <v>35.248190877070314</v>
      </c>
      <c r="H58" s="25"/>
      <c r="I58" s="1">
        <f>STDEV(I$5:I$52)</f>
        <v>3.2359886118618051</v>
      </c>
      <c r="J58">
        <f>STDEV(J$5:J$52)</f>
        <v>32.862550564585355</v>
      </c>
      <c r="L58">
        <f>STDEV(L$5:L$52)</f>
        <v>0.12932360689919856</v>
      </c>
      <c r="M58">
        <f>STDEV(M$5:M$52)</f>
        <v>47.442063911591042</v>
      </c>
      <c r="N58" s="2"/>
      <c r="O58" s="25">
        <f>STDEV(O$5:O$52)</f>
        <v>3.2530526784427272</v>
      </c>
      <c r="P58">
        <f>STDEV(P$5:P$52)</f>
        <v>31.413699678361183</v>
      </c>
      <c r="R58">
        <f>STDEV(R$5:R$52)</f>
        <v>0.12824345026339939</v>
      </c>
      <c r="S58">
        <f>STDEV(S$5:S$52)</f>
        <v>41.426273055764746</v>
      </c>
      <c r="T58" s="25"/>
    </row>
    <row r="59" spans="1:20">
      <c r="B59" s="4" t="s">
        <v>22</v>
      </c>
      <c r="C59" s="25">
        <f>COUNTIF(C$5:C$52, "&lt;0")</f>
        <v>35</v>
      </c>
      <c r="D59">
        <f>COUNTIF(D$5:D$52, "&lt;0")</f>
        <v>35</v>
      </c>
      <c r="F59">
        <f>COUNTIF(F$5:F$52, "&lt;0")</f>
        <v>33</v>
      </c>
      <c r="G59">
        <f>COUNTIF(G$5:G$52, "&lt;0")</f>
        <v>33</v>
      </c>
      <c r="H59" s="25"/>
      <c r="I59" s="1">
        <f>COUNTIF(I$5:I$52, "&lt;0")</f>
        <v>35</v>
      </c>
      <c r="J59">
        <f>COUNTIF(J$5:J$52, "&lt;0")</f>
        <v>35</v>
      </c>
      <c r="L59">
        <f>COUNTIF(L$5:L$52, "&lt;0")</f>
        <v>38</v>
      </c>
      <c r="M59">
        <f>COUNTIF(M$5:M$52, "&lt;0")</f>
        <v>38</v>
      </c>
      <c r="N59" s="2"/>
      <c r="O59" s="25">
        <f>COUNTIF(O$5:O$52, "&lt;0")</f>
        <v>40</v>
      </c>
      <c r="P59">
        <f>COUNTIF(P$5:P$52, "&lt;0")</f>
        <v>40</v>
      </c>
      <c r="R59">
        <f>COUNTIF(R$5:R$52, "&lt;0")</f>
        <v>37</v>
      </c>
      <c r="S59">
        <f>COUNTIF(S$5:S$52, "&lt;0")</f>
        <v>37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-6.0416666666666646E-2</v>
      </c>
      <c r="D63">
        <f>AVERAGE(D$5:D$28)</f>
        <v>-0.93333333333333302</v>
      </c>
      <c r="F63">
        <f>AVERAGE(F$5:F$28)</f>
        <v>-5.749999999999999E-3</v>
      </c>
      <c r="G63">
        <f>AVERAGE(G$5:G$28)</f>
        <v>1.8708333333333336</v>
      </c>
      <c r="H63" s="25"/>
      <c r="I63" s="1">
        <f>AVERAGE(I$5:I$28)</f>
        <v>-0.15375000000000005</v>
      </c>
      <c r="J63">
        <f>AVERAGE(J$5:J$28)</f>
        <v>-0.23750000000000071</v>
      </c>
      <c r="L63">
        <f>AVERAGE(L$5:L$28)</f>
        <v>-1.5958333333333338E-2</v>
      </c>
      <c r="M63">
        <f>AVERAGE(M$5:M$28)</f>
        <v>2.9500000000000006</v>
      </c>
      <c r="N63" s="2"/>
      <c r="O63" s="25">
        <f>AVERAGE(O$5:O$28)</f>
        <v>-0.14249999999999999</v>
      </c>
      <c r="P63">
        <f>AVERAGE(P$5:P$28)</f>
        <v>-2.2124999999999999</v>
      </c>
      <c r="R63">
        <f>AVERAGE(R$5:R$28)</f>
        <v>-2.1250000000000008E-2</v>
      </c>
      <c r="S63">
        <f>AVERAGE(S$5:S$28)</f>
        <v>-7.0666666666666664</v>
      </c>
      <c r="T63" s="25"/>
    </row>
    <row r="64" spans="1:20">
      <c r="B64" s="4" t="s">
        <v>20</v>
      </c>
      <c r="C64" s="25">
        <f>MEDIAN(C$5:C$28)</f>
        <v>-9.5000000000000001E-2</v>
      </c>
      <c r="D64">
        <f>MEDIAN(D$5:D$28)</f>
        <v>-5.75</v>
      </c>
      <c r="F64">
        <f>MEDIAN(F$5:F$28)</f>
        <v>-1.6E-2</v>
      </c>
      <c r="G64">
        <f>MEDIAN(G$5:G$28)</f>
        <v>-12.95</v>
      </c>
      <c r="H64" s="25"/>
      <c r="I64" s="1">
        <f>MEDIAN(I$5:I$28)</f>
        <v>-9.5000000000000001E-2</v>
      </c>
      <c r="J64">
        <f>MEDIAN(J$5:J$28)</f>
        <v>-7.65</v>
      </c>
      <c r="L64">
        <f>MEDIAN(L$5:L$28)</f>
        <v>-1.7000000000000001E-2</v>
      </c>
      <c r="M64">
        <f>MEDIAN(M$5:M$28)</f>
        <v>-11.95</v>
      </c>
      <c r="N64" s="2"/>
      <c r="O64" s="25">
        <f>MEDIAN(O$5:O$28)</f>
        <v>-9.5000000000000001E-2</v>
      </c>
      <c r="P64">
        <f>MEDIAN(P$5:P$28)</f>
        <v>-9.15</v>
      </c>
      <c r="R64">
        <f>MEDIAN(R$5:R$28)</f>
        <v>-2.0499999999999997E-2</v>
      </c>
      <c r="S64">
        <f>MEDIAN(S$5:S$28)</f>
        <v>-16.149999999999999</v>
      </c>
      <c r="T64" s="25"/>
    </row>
    <row r="65" spans="2:20">
      <c r="B65" s="4" t="s">
        <v>21</v>
      </c>
      <c r="C65" s="25">
        <f>STDEV(C$5:C$28)</f>
        <v>0.45788245279734197</v>
      </c>
      <c r="D65">
        <f>STDEV(D$5:D$28)</f>
        <v>22.346046565364738</v>
      </c>
      <c r="F65">
        <f>STDEV(F$5:F$28)</f>
        <v>3.1697277348446636E-2</v>
      </c>
      <c r="G65">
        <f>STDEV(G$5:G$28)</f>
        <v>37.173032291032499</v>
      </c>
      <c r="H65" s="25"/>
      <c r="I65" s="1">
        <f>STDEV(I$5:I$28)</f>
        <v>0.51641584608429325</v>
      </c>
      <c r="J65">
        <f>STDEV(J$5:J$28)</f>
        <v>25.645625315559901</v>
      </c>
      <c r="L65">
        <f>STDEV(L$5:L$28)</f>
        <v>4.6387291331801743E-2</v>
      </c>
      <c r="M65">
        <f>STDEV(M$5:M$28)</f>
        <v>53.729451077072042</v>
      </c>
      <c r="N65" s="2"/>
      <c r="O65" s="25">
        <f>STDEV(O$5:O$28)</f>
        <v>0.49075142029518271</v>
      </c>
      <c r="P65">
        <f>STDEV(P$5:P$28)</f>
        <v>24.026711810707322</v>
      </c>
      <c r="R65">
        <f>STDEV(R$5:R$28)</f>
        <v>4.1265049955453666E-2</v>
      </c>
      <c r="S65">
        <f>STDEV(S$5:S$28)</f>
        <v>43.59311539847694</v>
      </c>
      <c r="T65" s="25"/>
    </row>
    <row r="66" spans="2:20">
      <c r="B66" s="4" t="s">
        <v>22</v>
      </c>
      <c r="C66" s="25">
        <f>COUNTIF(C$5:C$28, "&lt;0")</f>
        <v>15</v>
      </c>
      <c r="D66">
        <f>COUNTIF(D$5:D$28, "&lt;0")</f>
        <v>15</v>
      </c>
      <c r="F66">
        <f>COUNTIF(F$5:F$28, "&lt;0")</f>
        <v>15</v>
      </c>
      <c r="G66">
        <f>COUNTIF(G$5:G$28, "&lt;0")</f>
        <v>15</v>
      </c>
      <c r="H66" s="25"/>
      <c r="I66" s="1">
        <f>COUNTIF(I$5:I$28, "&lt;0")</f>
        <v>15</v>
      </c>
      <c r="J66">
        <f>COUNTIF(J$5:J$28, "&lt;0")</f>
        <v>15</v>
      </c>
      <c r="L66">
        <f>COUNTIF(L$5:L$28, "&lt;0")</f>
        <v>19</v>
      </c>
      <c r="M66">
        <f>COUNTIF(M$5:M$28, "&lt;0")</f>
        <v>19</v>
      </c>
      <c r="N66" s="2"/>
      <c r="O66" s="25">
        <f>COUNTIF(O$5:O$28, "&lt;0")</f>
        <v>17</v>
      </c>
      <c r="P66">
        <f>COUNTIF(P$5:P$28, "&lt;0")</f>
        <v>17</v>
      </c>
      <c r="R66">
        <f>COUNTIF(R$5:R$28, "&lt;0")</f>
        <v>18</v>
      </c>
      <c r="S66">
        <f>COUNTIF(S$5:S$28, "&lt;0")</f>
        <v>18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-2.0474999999999999</v>
      </c>
      <c r="D70">
        <f>AVERAGE(D$29:D$52)</f>
        <v>-25.845833333333335</v>
      </c>
      <c r="F70">
        <f>AVERAGE(F$29:F$52)</f>
        <v>-6.6000000000000003E-2</v>
      </c>
      <c r="G70">
        <f>AVERAGE(G$29:G$52)</f>
        <v>-18.608333333333334</v>
      </c>
      <c r="H70" s="25"/>
      <c r="I70" s="1">
        <f>AVERAGE(I$29:I$52)</f>
        <v>-2.4641666666666668</v>
      </c>
      <c r="J70">
        <f>AVERAGE(J$29:J$52)</f>
        <v>-28.466666666666665</v>
      </c>
      <c r="L70">
        <f>AVERAGE(L$29:L$52)</f>
        <v>-9.4999999999999987E-2</v>
      </c>
      <c r="M70">
        <f>AVERAGE(M$29:M$52)</f>
        <v>-20.887499999999999</v>
      </c>
      <c r="N70" s="2"/>
      <c r="O70" s="25">
        <f>AVERAGE(O$29:O$52)</f>
        <v>-2.6012500000000003</v>
      </c>
      <c r="P70">
        <f>AVERAGE(P$29:P$52)</f>
        <v>-34.94166666666667</v>
      </c>
      <c r="R70">
        <f>AVERAGE(R$29:R$52)</f>
        <v>-0.10645833333333332</v>
      </c>
      <c r="S70">
        <f>AVERAGE(S$29:S$52)</f>
        <v>-28.350000000000005</v>
      </c>
      <c r="T70" s="25"/>
    </row>
    <row r="71" spans="2:20">
      <c r="B71" s="4" t="s">
        <v>20</v>
      </c>
      <c r="C71" s="25">
        <f>MEDIAN(C$29:C$52)</f>
        <v>-0.27</v>
      </c>
      <c r="D71">
        <f>MEDIAN(D$29:D$52)</f>
        <v>-19.399999999999999</v>
      </c>
      <c r="F71">
        <f>MEDIAN(F$29:F$52)</f>
        <v>-2.2499999999999999E-2</v>
      </c>
      <c r="G71">
        <f>MEDIAN(G$29:G$52)</f>
        <v>-17.350000000000001</v>
      </c>
      <c r="H71" s="25"/>
      <c r="I71" s="1">
        <f>MEDIAN(I$29:I$52)</f>
        <v>-0.26500000000000001</v>
      </c>
      <c r="J71">
        <f>MEDIAN(J$29:J$52)</f>
        <v>-19.05</v>
      </c>
      <c r="L71">
        <f>MEDIAN(L$29:L$52)</f>
        <v>-1.8499999999999999E-2</v>
      </c>
      <c r="M71">
        <f>MEDIAN(M$29:M$52)</f>
        <v>-19</v>
      </c>
      <c r="N71" s="2"/>
      <c r="O71" s="25">
        <f>MEDIAN(O$29:O$52)</f>
        <v>-0.38500000000000001</v>
      </c>
      <c r="P71">
        <f>MEDIAN(P$29:P$52)</f>
        <v>-24.45</v>
      </c>
      <c r="R71">
        <f>MEDIAN(R$29:R$52)</f>
        <v>-3.0000000000000002E-2</v>
      </c>
      <c r="S71">
        <f>MEDIAN(S$29:S$52)</f>
        <v>-26.200000000000003</v>
      </c>
      <c r="T71" s="25"/>
    </row>
    <row r="72" spans="2:20">
      <c r="B72" s="4" t="s">
        <v>21</v>
      </c>
      <c r="C72" s="25">
        <f>STDEV(C$29:C$52)</f>
        <v>4.0777969862254748</v>
      </c>
      <c r="D72">
        <f>STDEV(D$29:D$52)</f>
        <v>34.390873146768186</v>
      </c>
      <c r="F72">
        <f>STDEV(F$29:F$52)</f>
        <v>0.13433022256980062</v>
      </c>
      <c r="G72">
        <f>STDEV(G$29:G$52)</f>
        <v>30.630688173317527</v>
      </c>
      <c r="H72" s="25"/>
      <c r="I72" s="1">
        <f>STDEV(I$29:I$52)</f>
        <v>4.2833153724317494</v>
      </c>
      <c r="J72">
        <f>STDEV(J$29:J$52)</f>
        <v>33.665769825907951</v>
      </c>
      <c r="L72">
        <f>STDEV(L$29:L$52)</f>
        <v>0.16960234822000292</v>
      </c>
      <c r="M72">
        <f>STDEV(M$29:M$52)</f>
        <v>37.630275883169901</v>
      </c>
      <c r="N72" s="2"/>
      <c r="O72" s="25">
        <f>STDEV(O$29:O$52)</f>
        <v>4.2696393417589329</v>
      </c>
      <c r="P72">
        <f>STDEV(P$29:P$52)</f>
        <v>29.671152974574131</v>
      </c>
      <c r="R72">
        <f>STDEV(R$29:R$52)</f>
        <v>0.16768111017686199</v>
      </c>
      <c r="S72">
        <f>STDEV(S$29:S$52)</f>
        <v>37.016071715099528</v>
      </c>
      <c r="T72" s="25"/>
    </row>
    <row r="73" spans="2:20">
      <c r="B73" s="4" t="s">
        <v>22</v>
      </c>
      <c r="C73" s="25">
        <f>COUNTIF(C$29:C$52, "&lt;0")</f>
        <v>20</v>
      </c>
      <c r="D73">
        <f>COUNTIF(D$29:D$52, "&lt;0")</f>
        <v>20</v>
      </c>
      <c r="F73">
        <f>COUNTIF(F$29:F$52, "&lt;0")</f>
        <v>18</v>
      </c>
      <c r="G73">
        <f>COUNTIF(G$29:G$52, "&lt;0")</f>
        <v>18</v>
      </c>
      <c r="H73" s="25"/>
      <c r="I73" s="1">
        <f>COUNTIF(I$29:I$52, "&lt;0")</f>
        <v>20</v>
      </c>
      <c r="J73">
        <f>COUNTIF(J$29:J$52, "&lt;0")</f>
        <v>20</v>
      </c>
      <c r="L73">
        <f>COUNTIF(L$29:L$52, "&lt;0")</f>
        <v>19</v>
      </c>
      <c r="M73">
        <f>COUNTIF(M$29:M$52, "&lt;0")</f>
        <v>19</v>
      </c>
      <c r="N73" s="2"/>
      <c r="O73" s="25">
        <f>COUNTIF(O$29:O$52, "&lt;0")</f>
        <v>23</v>
      </c>
      <c r="P73">
        <f>COUNTIF(P$29:P$52, "&lt;0")</f>
        <v>23</v>
      </c>
      <c r="R73">
        <f>COUNTIF(R$29:R$52, "&lt;0")</f>
        <v>19</v>
      </c>
      <c r="S73">
        <f>COUNTIF(S$29:S$52, "&lt;0")</f>
        <v>19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-1.244930555555555</v>
      </c>
      <c r="D77">
        <f>AVERAGE(D$5:D$52,J$5:J$52,P$5:P$52)</f>
        <v>-15.439583333333328</v>
      </c>
      <c r="F77">
        <f>AVERAGE(F$5:F$52,L$5:L$52,R$5:R$52)</f>
        <v>-5.1736111111111122E-2</v>
      </c>
      <c r="G77">
        <f>AVERAGE(G$5:G$52,M$5:M$52,S$5:S$52)</f>
        <v>-11.681944444444445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-0.15500000000000003</v>
      </c>
      <c r="D78">
        <f>MEDIAN(D$5:D$52,J$5:J$52,P$5:P$52)</f>
        <v>-12.45</v>
      </c>
      <c r="F78">
        <f>MEDIAN(F$5:F$52,L$5:L$52,R$5:R$52)</f>
        <v>-2.1000000000000001E-2</v>
      </c>
      <c r="G78">
        <f>MEDIAN(G$5:G$52,M$5:M$52,S$5:S$52)</f>
        <v>-16.899999999999999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3.1588654235934972</v>
      </c>
      <c r="D79">
        <f>STDEV(D$5:D$52,J$5:J$52,P$5:P$52)</f>
        <v>31.73364502225677</v>
      </c>
      <c r="F79">
        <f>STDEV(F$5:F$52,L$5:L$52,R$5:R$52)</f>
        <v>0.12003868759294439</v>
      </c>
      <c r="G79">
        <f>STDEV(G$5:G$52,M$5:M$52,S$5:S$52)</f>
        <v>41.599283299329471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110</v>
      </c>
      <c r="D80">
        <f>COUNTIF(D$5:D$52, "&lt;0")+COUNTIF(J$5:J$52, "&lt;0")+COUNTIF(P$5:P$52, "&lt;0")</f>
        <v>110</v>
      </c>
      <c r="F80">
        <f>COUNTIF(F$5:F$52, "&lt;0")+COUNTIF(L$5:L$52, "&lt;0")+COUNTIF(R$5:R$52, "&lt;0")</f>
        <v>108</v>
      </c>
      <c r="G80">
        <f>COUNTIF(G$5:G$52, "&lt;0")+COUNTIF(M$5:M$52, "&lt;0")+COUNTIF(S$5:S$52, "&lt;0")</f>
        <v>108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1.3829861111111104</v>
      </c>
      <c r="D83" cm="1">
        <f t="array" ref="D83">AVERAGE(ABS(D$5:D$52),ABS(J$5:J$52),ABS(P$5:P$52))</f>
        <v>26.163194444444443</v>
      </c>
      <c r="F83" cm="1">
        <f t="array" ref="F83">AVERAGE(ABS(F$5:F$52),ABS(L$5:L$52),ABS(R$5:R$52))</f>
        <v>6.4305555555555546E-2</v>
      </c>
      <c r="G83" cm="1">
        <f t="array" ref="G83">AVERAGE(ABS(G$5:G$52),ABS(M$5:M$52),ABS(S$5:S$52))</f>
        <v>30.86805555555555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0.255</v>
      </c>
      <c r="D84" cm="1">
        <f t="array" ref="D84">MEDIAN(ABS(D$5:D$52),ABS(J$5:J$52),ABS(P$5:P$52))</f>
        <v>17.8</v>
      </c>
      <c r="F84" cm="1">
        <f t="array" ref="F84">MEDIAN(ABS(F$5:F$52),ABS(L$5:L$52),ABS(R$5:R$52))</f>
        <v>2.4500000000000001E-2</v>
      </c>
      <c r="G84" cm="1">
        <f t="array" ref="G84">MEDIAN(ABS(G$5:G$52),ABS(M$5:M$52),ABS(S$5:S$52))</f>
        <v>20.7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3.100499188290327</v>
      </c>
      <c r="D85" cm="1">
        <f t="array" ref="D85">STDEV(ABS(D$5:D$52),ABS(J$5:J$52),ABS(P$5:P$52))</f>
        <v>23.617205848740603</v>
      </c>
      <c r="F85" cm="1">
        <f t="array" ref="F85">STDEV(ABS(F$5:F$52),ABS(L$5:L$52),ABS(R$5:R$52))</f>
        <v>0.11375635095021011</v>
      </c>
      <c r="G85" cm="1">
        <f t="array" ref="G85">STDEV(ABS(G$5:G$52),ABS(M$5:M$52),ABS(S$5:S$52))</f>
        <v>30.140047593193515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-0.11888888888888892</v>
      </c>
      <c r="D89">
        <f>AVERAGE(D$5:D$28,J$5:J$28,P$5:P$28)</f>
        <v>-1.1277777777777778</v>
      </c>
      <c r="F89">
        <f>AVERAGE(F$5:F$28,L$5:L$28,R$5:R$28)</f>
        <v>-1.4319444444444447E-2</v>
      </c>
      <c r="G89">
        <f>AVERAGE(G$5:G$28,M$5:M$28,S$5:S$28)</f>
        <v>-0.74861111111111134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-9.5000000000000001E-2</v>
      </c>
      <c r="D90">
        <f>MEDIAN(D$5:D$28,J$5:J$28,P$5:P$28)</f>
        <v>-7.7</v>
      </c>
      <c r="F90">
        <f>MEDIAN(F$5:F$28,L$5:L$28,R$5:R$28)</f>
        <v>-1.7500000000000002E-2</v>
      </c>
      <c r="G90">
        <f>MEDIAN(G$5:G$28,M$5:M$28,S$5:S$28)</f>
        <v>-13.95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0.4838186004947137</v>
      </c>
      <c r="D91">
        <f>STDEV(D$5:D$28,J$5:J$28,P$5:P$28)</f>
        <v>23.717137217823666</v>
      </c>
      <c r="F91">
        <f>STDEV(F$5:F$28,L$5:L$28,R$5:R$28)</f>
        <v>4.0200843095667835E-2</v>
      </c>
      <c r="G91">
        <f>STDEV(G$5:G$28,M$5:M$28,S$5:S$28)</f>
        <v>44.931735367268438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47</v>
      </c>
      <c r="D92">
        <f>COUNTIF(D$5:D$28, "&lt;0")+COUNTIF(J$5:J$28, "&lt;0")+COUNTIF(P$5:P$28, "&lt;0")</f>
        <v>47</v>
      </c>
      <c r="F92">
        <f>COUNTIF(F$5:F$28, "&lt;0")+COUNTIF(L$5:L$28, "&lt;0")+COUNTIF(R$5:R$28, "&lt;0")</f>
        <v>52</v>
      </c>
      <c r="G92">
        <f>COUNTIF(G$5:G$28, "&lt;0")+COUNTIF(M$5:M$28, "&lt;0")+COUNTIF(S$5:S$28, "&lt;0")</f>
        <v>52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0.33138888888888884</v>
      </c>
      <c r="D95" cm="1">
        <f t="array" ref="D95">AVERAGE(ABS(D$5:D$28),ABS(J$5:J$28),ABS(P$5:P$28))</f>
        <v>18.444444444444439</v>
      </c>
      <c r="F95" cm="1">
        <f t="array" ref="F95">AVERAGE(ABS(F$5:F$28),ABS(L$5:L$28),ABS(R$5:R$28))</f>
        <v>3.176388888888889E-2</v>
      </c>
      <c r="G95" cm="1">
        <f t="array" ref="G95">AVERAGE(ABS(G$5:G$28),ABS(M$5:M$28),ABS(S$5:S$28))</f>
        <v>29.012500000000006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0.2</v>
      </c>
      <c r="D96" cm="1">
        <f t="array" ref="D96">MEDIAN(ABS(D$5:D$28),ABS(J$5:J$28),ABS(P$5:P$28))</f>
        <v>14.05</v>
      </c>
      <c r="F96" cm="1">
        <f t="array" ref="F96">MEDIAN(ABS(F$5:F$28),ABS(L$5:L$28),ABS(R$5:R$28))</f>
        <v>2.3E-2</v>
      </c>
      <c r="G96" cm="1">
        <f t="array" ref="G96">MEDIAN(ABS(G$5:G$28),ABS(M$5:M$28),ABS(S$5:S$28))</f>
        <v>18.3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0.37020095629781724</v>
      </c>
      <c r="D97" cm="1">
        <f t="array" ref="D97">STDEV(ABS(D$5:D$28),ABS(J$5:J$28),ABS(P$5:P$28))</f>
        <v>14.792002872592535</v>
      </c>
      <c r="F97" cm="1">
        <f t="array" ref="F97">STDEV(ABS(F$5:F$28),ABS(L$5:L$28),ABS(R$5:R$28))</f>
        <v>2.8299949263656088E-2</v>
      </c>
      <c r="G97" cm="1">
        <f t="array" ref="G97">STDEV(ABS(G$5:G$28),ABS(M$5:M$28),ABS(S$5:S$28))</f>
        <v>34.144526864326771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-2.3709722222222216</v>
      </c>
      <c r="D101">
        <f>AVERAGE(D$29:D$52,J$29:J$52,P$29:P$52)</f>
        <v>-29.751388888888883</v>
      </c>
      <c r="F101">
        <f>AVERAGE(F$29:F$52,L$29:L$52,R$29:R$52)</f>
        <v>-8.9152777777777789E-2</v>
      </c>
      <c r="G101">
        <f>AVERAGE(G$29:G$52,M$29:M$52,S$29:S$52)</f>
        <v>-22.615277777777774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-0.28999999999999998</v>
      </c>
      <c r="D102">
        <f>MEDIAN(D$29:D$52,J$29:J$52,P$29:P$52)</f>
        <v>-19.899999999999999</v>
      </c>
      <c r="F102">
        <f>MEDIAN(F$29:F$52,L$29:L$52,R$29:R$52)</f>
        <v>-2.4500000000000001E-2</v>
      </c>
      <c r="G102">
        <f>MEDIAN(G$29:G$52,M$29:M$52,S$29:S$52)</f>
        <v>-19.899999999999999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4.1583248115862901</v>
      </c>
      <c r="D103">
        <f>STDEV(D$29:D$52,J$29:J$52,P$29:P$52)</f>
        <v>32.408393075032137</v>
      </c>
      <c r="F103">
        <f>STDEV(F$29:F$52,L$29:L$52,R$29:R$52)</f>
        <v>0.15673532545567512</v>
      </c>
      <c r="G103">
        <f>STDEV(G$29:G$52,M$29:M$52,S$29:S$52)</f>
        <v>34.986716431844762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63</v>
      </c>
      <c r="D104">
        <f>COUNTIF(D$29:D$52, "&lt;0")+COUNTIF(J$29:J$52, "&lt;0")+COUNTIF(P$29:P$52, "&lt;0")</f>
        <v>63</v>
      </c>
      <c r="F104">
        <f>COUNTIF(F$29:F$52, "&lt;0")+COUNTIF(L$29:L$52, "&lt;0")+COUNTIF(R$29:R$52, "&lt;0")</f>
        <v>56</v>
      </c>
      <c r="G104">
        <f>COUNTIF(G$29:G$52, "&lt;0")+COUNTIF(M$29:M$52, "&lt;0")+COUNTIF(S$29:S$52, "&lt;0")</f>
        <v>56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2.4345833333333329</v>
      </c>
      <c r="D107" cm="1">
        <f t="array" ref="D107">AVERAGE(ABS(D$29:D$52),ABS(J$29:J$52),ABS(P$29:P$52))</f>
        <v>33.881944444444436</v>
      </c>
      <c r="F107" cm="1">
        <f t="array" ref="F107">AVERAGE(ABS(F$29:F$52),ABS(L$29:L$52),ABS(R$29:R$52))</f>
        <v>9.6847222222222223E-2</v>
      </c>
      <c r="G107" cm="1">
        <f t="array" ref="G107">AVERAGE(ABS(G$29:G$52),ABS(M$29:M$52),ABS(S$29:S$52))</f>
        <v>32.723611111111111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0.33999999999999997</v>
      </c>
      <c r="D108" cm="1">
        <f t="array" ref="D108">MEDIAN(ABS(D$29:D$52),ABS(J$29:J$52),ABS(P$29:P$52))</f>
        <v>21.549999999999997</v>
      </c>
      <c r="F108" cm="1">
        <f t="array" ref="F108">MEDIAN(ABS(F$29:F$52),ABS(L$29:L$52),ABS(R$29:R$52))</f>
        <v>2.9499999999999998E-2</v>
      </c>
      <c r="G108" cm="1">
        <f t="array" ref="G108">MEDIAN(ABS(G$29:G$52),ABS(M$29:M$52),ABS(S$29:S$52))</f>
        <v>24.4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4.1208825587949347</v>
      </c>
      <c r="D109" cm="1">
        <f t="array" ref="D109">STDEV(ABS(D$29:D$52),ABS(J$29:J$52),ABS(P$29:P$52))</f>
        <v>27.995730692570877</v>
      </c>
      <c r="F109" cm="1">
        <f t="array" ref="F109">STDEV(ABS(F$29:F$52),ABS(L$29:L$52),ABS(R$29:R$52))</f>
        <v>0.15203499038719484</v>
      </c>
      <c r="G109" cm="1">
        <f t="array" ref="G109">STDEV(ABS(G$29:G$52),ABS(M$29:M$52),ABS(S$29:S$52))</f>
        <v>25.628260661283505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32E4-5973-4A8E-990F-2E612ADF3CE8}">
  <dimension ref="A1:T109"/>
  <sheetViews>
    <sheetView topLeftCell="A37" workbookViewId="0">
      <selection activeCell="B56" sqref="B56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38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-1.46</v>
      </c>
      <c r="D5">
        <v>-46.5</v>
      </c>
      <c r="E5" t="str">
        <f>IF(ABS(D5)&gt;50,"?","-")</f>
        <v>-</v>
      </c>
      <c r="F5">
        <v>-1.7999999999999999E-2</v>
      </c>
      <c r="G5">
        <v>-12.2</v>
      </c>
      <c r="H5" t="str">
        <f>IF(ABS(G5)&gt;50,"?","-")</f>
        <v>-</v>
      </c>
      <c r="I5" s="1">
        <v>-1.48</v>
      </c>
      <c r="J5">
        <v>-49.2</v>
      </c>
      <c r="K5" t="str">
        <f>IF(ABS(J5)&gt;50,"?","-")</f>
        <v>-</v>
      </c>
      <c r="L5">
        <v>-6.8000000000000005E-2</v>
      </c>
      <c r="M5">
        <v>-38.9</v>
      </c>
      <c r="N5" t="str">
        <f>IF(ABS(M5)&gt;50,"?","-")</f>
        <v>-</v>
      </c>
      <c r="O5" s="1">
        <v>-1.41</v>
      </c>
      <c r="P5">
        <v>-46.5</v>
      </c>
      <c r="Q5" t="str">
        <f>IF(ABS(P5)&gt;50,"?","-")</f>
        <v>-</v>
      </c>
      <c r="R5">
        <v>-7.0999999999999994E-2</v>
      </c>
      <c r="S5">
        <v>-39.4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-1.21</v>
      </c>
      <c r="D6">
        <v>-46.5</v>
      </c>
      <c r="E6" t="str">
        <f t="shared" ref="E6:E52" si="0">IF(ABS(D6)&gt;50,"?","-")</f>
        <v>-</v>
      </c>
      <c r="F6">
        <v>-3.2000000000000001E-2</v>
      </c>
      <c r="G6">
        <v>-29.6</v>
      </c>
      <c r="H6" t="str">
        <f t="shared" ref="H6:H52" si="1">IF(ABS(G6)&gt;50,"?","-")</f>
        <v>-</v>
      </c>
      <c r="I6" s="1">
        <v>-1.25</v>
      </c>
      <c r="J6">
        <v>-49.2</v>
      </c>
      <c r="K6" t="str">
        <f t="shared" ref="K6:K52" si="2">IF(ABS(J6)&gt;50,"?","-")</f>
        <v>-</v>
      </c>
      <c r="L6">
        <v>-5.8000000000000003E-2</v>
      </c>
      <c r="M6">
        <v>-46.8</v>
      </c>
      <c r="N6" t="str">
        <f t="shared" ref="N6:N52" si="3">IF(ABS(M6)&gt;50,"?","-")</f>
        <v>-</v>
      </c>
      <c r="O6" s="1">
        <v>-1.18</v>
      </c>
      <c r="P6">
        <v>-46.1</v>
      </c>
      <c r="Q6" t="str">
        <f t="shared" ref="Q6:Q52" si="4">IF(ABS(P6)&gt;50,"?","-")</f>
        <v>-</v>
      </c>
      <c r="R6">
        <v>-5.2999999999999999E-2</v>
      </c>
      <c r="S6">
        <v>-39.799999999999997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-3.57</v>
      </c>
      <c r="D7">
        <v>-51.7</v>
      </c>
      <c r="E7" t="str">
        <f t="shared" si="0"/>
        <v>?</v>
      </c>
      <c r="F7">
        <v>-0.11600000000000001</v>
      </c>
      <c r="G7">
        <v>-34.299999999999997</v>
      </c>
      <c r="H7" t="str">
        <f t="shared" si="1"/>
        <v>-</v>
      </c>
      <c r="I7" s="1">
        <v>-3.33</v>
      </c>
      <c r="J7">
        <v>-56</v>
      </c>
      <c r="K7" t="str">
        <f t="shared" si="2"/>
        <v>?</v>
      </c>
      <c r="L7">
        <v>-0.158</v>
      </c>
      <c r="M7">
        <v>-51.3</v>
      </c>
      <c r="N7" t="str">
        <f t="shared" si="3"/>
        <v>?</v>
      </c>
      <c r="O7" s="1">
        <v>-2.76</v>
      </c>
      <c r="P7">
        <v>-49</v>
      </c>
      <c r="Q7" t="str">
        <f t="shared" si="4"/>
        <v>-</v>
      </c>
      <c r="R7">
        <v>-0.157</v>
      </c>
      <c r="S7">
        <v>-52.9</v>
      </c>
      <c r="T7" s="2" t="str">
        <f t="shared" si="5"/>
        <v>?</v>
      </c>
    </row>
    <row r="8" spans="1:20">
      <c r="A8" s="11" t="s">
        <v>13</v>
      </c>
      <c r="B8" s="12" t="s">
        <v>10</v>
      </c>
      <c r="C8">
        <v>-0.08</v>
      </c>
      <c r="D8">
        <v>-5.8</v>
      </c>
      <c r="E8" t="str">
        <f t="shared" si="0"/>
        <v>-</v>
      </c>
      <c r="F8">
        <v>5.0999999999999997E-2</v>
      </c>
      <c r="G8">
        <v>49</v>
      </c>
      <c r="H8" t="str">
        <f t="shared" si="1"/>
        <v>-</v>
      </c>
      <c r="I8" s="1">
        <v>0.39</v>
      </c>
      <c r="J8">
        <v>32.799999999999997</v>
      </c>
      <c r="K8" t="str">
        <f t="shared" si="2"/>
        <v>-</v>
      </c>
      <c r="L8">
        <v>7.0999999999999994E-2</v>
      </c>
      <c r="M8">
        <v>85.5</v>
      </c>
      <c r="N8" t="str">
        <f t="shared" si="3"/>
        <v>?</v>
      </c>
      <c r="O8" s="1">
        <v>0.27</v>
      </c>
      <c r="P8">
        <v>22.5</v>
      </c>
      <c r="Q8" t="str">
        <f t="shared" si="4"/>
        <v>-</v>
      </c>
      <c r="R8">
        <v>1.7999999999999999E-2</v>
      </c>
      <c r="S8">
        <v>25.7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-0.85</v>
      </c>
      <c r="D9">
        <v>-38.6</v>
      </c>
      <c r="E9" t="str">
        <f t="shared" si="0"/>
        <v>-</v>
      </c>
      <c r="F9">
        <v>-2.5000000000000001E-2</v>
      </c>
      <c r="G9">
        <v>-18.100000000000001</v>
      </c>
      <c r="H9" t="str">
        <f t="shared" si="1"/>
        <v>-</v>
      </c>
      <c r="I9" s="1">
        <v>-0.81</v>
      </c>
      <c r="J9">
        <v>-39.5</v>
      </c>
      <c r="K9" t="str">
        <f t="shared" si="2"/>
        <v>-</v>
      </c>
      <c r="L9">
        <v>-4.4999999999999998E-2</v>
      </c>
      <c r="M9">
        <v>-29.2</v>
      </c>
      <c r="N9" t="str">
        <f t="shared" si="3"/>
        <v>-</v>
      </c>
      <c r="O9" s="1">
        <v>-0.89</v>
      </c>
      <c r="P9">
        <v>-44.3</v>
      </c>
      <c r="Q9" t="str">
        <f t="shared" si="4"/>
        <v>-</v>
      </c>
      <c r="R9">
        <v>-5.8000000000000003E-2</v>
      </c>
      <c r="S9">
        <v>-37.700000000000003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-0.71</v>
      </c>
      <c r="D10">
        <v>-40.1</v>
      </c>
      <c r="E10" t="str">
        <f t="shared" si="0"/>
        <v>-</v>
      </c>
      <c r="F10">
        <v>-2.1000000000000001E-2</v>
      </c>
      <c r="G10">
        <v>-19.3</v>
      </c>
      <c r="H10" t="str">
        <f t="shared" si="1"/>
        <v>-</v>
      </c>
      <c r="I10" s="1">
        <v>-0.82</v>
      </c>
      <c r="J10">
        <v>-45.6</v>
      </c>
      <c r="K10" t="str">
        <f t="shared" si="2"/>
        <v>-</v>
      </c>
      <c r="L10">
        <v>-6.2E-2</v>
      </c>
      <c r="M10">
        <v>-49.6</v>
      </c>
      <c r="N10" t="str">
        <f t="shared" si="3"/>
        <v>-</v>
      </c>
      <c r="O10" s="1">
        <v>-0.75</v>
      </c>
      <c r="P10">
        <v>-42.6</v>
      </c>
      <c r="Q10" t="str">
        <f t="shared" si="4"/>
        <v>-</v>
      </c>
      <c r="R10">
        <v>-0.04</v>
      </c>
      <c r="S10">
        <v>-34.200000000000003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-1.64</v>
      </c>
      <c r="D11">
        <v>-31.8</v>
      </c>
      <c r="E11" t="str">
        <f t="shared" si="0"/>
        <v>-</v>
      </c>
      <c r="F11">
        <v>-5.0999999999999997E-2</v>
      </c>
      <c r="G11">
        <v>-18.5</v>
      </c>
      <c r="H11" t="str">
        <f t="shared" si="1"/>
        <v>-</v>
      </c>
      <c r="I11" s="1">
        <v>-1.19</v>
      </c>
      <c r="J11">
        <v>-27.5</v>
      </c>
      <c r="K11" t="str">
        <f t="shared" si="2"/>
        <v>-</v>
      </c>
      <c r="L11">
        <v>-7.3999999999999996E-2</v>
      </c>
      <c r="M11">
        <v>-31.6</v>
      </c>
      <c r="N11" t="str">
        <f t="shared" si="3"/>
        <v>-</v>
      </c>
      <c r="O11" s="1">
        <v>-1.37</v>
      </c>
      <c r="P11">
        <v>-30.7</v>
      </c>
      <c r="Q11" t="str">
        <f t="shared" si="4"/>
        <v>-</v>
      </c>
      <c r="R11">
        <v>-7.4999999999999997E-2</v>
      </c>
      <c r="S11">
        <v>-31.9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0.33</v>
      </c>
      <c r="D12">
        <v>55</v>
      </c>
      <c r="E12" t="str">
        <f t="shared" si="0"/>
        <v>?</v>
      </c>
      <c r="F12">
        <v>1E-3</v>
      </c>
      <c r="G12">
        <v>1.1000000000000001</v>
      </c>
      <c r="H12" t="str">
        <f t="shared" si="1"/>
        <v>-</v>
      </c>
      <c r="I12" s="1">
        <v>0.47</v>
      </c>
      <c r="J12">
        <v>78.3</v>
      </c>
      <c r="K12" t="str">
        <f t="shared" si="2"/>
        <v>?</v>
      </c>
      <c r="L12">
        <v>3.6999999999999998E-2</v>
      </c>
      <c r="M12">
        <v>40.200000000000003</v>
      </c>
      <c r="N12" t="str">
        <f t="shared" si="3"/>
        <v>-</v>
      </c>
      <c r="O12" s="1">
        <v>0.32</v>
      </c>
      <c r="P12">
        <v>56.1</v>
      </c>
      <c r="Q12" t="str">
        <f t="shared" si="4"/>
        <v>?</v>
      </c>
      <c r="R12">
        <v>2.1000000000000001E-2</v>
      </c>
      <c r="S12">
        <v>31.3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-0.53</v>
      </c>
      <c r="D13">
        <v>-31.4</v>
      </c>
      <c r="E13" t="str">
        <f t="shared" si="0"/>
        <v>-</v>
      </c>
      <c r="F13">
        <v>-1.7999999999999999E-2</v>
      </c>
      <c r="G13">
        <v>-13.4</v>
      </c>
      <c r="H13" t="str">
        <f t="shared" si="1"/>
        <v>-</v>
      </c>
      <c r="I13" s="1">
        <v>-0.59</v>
      </c>
      <c r="J13">
        <v>-34.9</v>
      </c>
      <c r="K13" t="str">
        <f t="shared" si="2"/>
        <v>-</v>
      </c>
      <c r="L13">
        <v>-4.5999999999999999E-2</v>
      </c>
      <c r="M13">
        <v>-31.3</v>
      </c>
      <c r="N13" t="str">
        <f t="shared" si="3"/>
        <v>-</v>
      </c>
      <c r="O13" s="1">
        <v>-0.45</v>
      </c>
      <c r="P13">
        <v>-28.8</v>
      </c>
      <c r="Q13" t="str">
        <f t="shared" si="4"/>
        <v>-</v>
      </c>
      <c r="R13">
        <v>-3.5000000000000003E-2</v>
      </c>
      <c r="S13">
        <v>-26.3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-0.41</v>
      </c>
      <c r="D14">
        <v>-28.1</v>
      </c>
      <c r="E14" t="str">
        <f t="shared" si="0"/>
        <v>-</v>
      </c>
      <c r="F14">
        <v>-3.4000000000000002E-2</v>
      </c>
      <c r="G14">
        <v>-30.4</v>
      </c>
      <c r="H14" t="str">
        <f t="shared" si="1"/>
        <v>-</v>
      </c>
      <c r="I14" s="1">
        <v>-0.55000000000000004</v>
      </c>
      <c r="J14">
        <v>-37.4</v>
      </c>
      <c r="K14" t="str">
        <f t="shared" si="2"/>
        <v>-</v>
      </c>
      <c r="L14">
        <v>-2.8000000000000001E-2</v>
      </c>
      <c r="M14">
        <v>-26.9</v>
      </c>
      <c r="N14" t="str">
        <f t="shared" si="3"/>
        <v>-</v>
      </c>
      <c r="O14" s="1">
        <v>-0.52</v>
      </c>
      <c r="P14">
        <v>-34.700000000000003</v>
      </c>
      <c r="Q14" t="str">
        <f t="shared" si="4"/>
        <v>-</v>
      </c>
      <c r="R14">
        <v>-2.7E-2</v>
      </c>
      <c r="S14">
        <v>-25.2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-0.49</v>
      </c>
      <c r="D15">
        <v>-12.5</v>
      </c>
      <c r="E15" t="str">
        <f t="shared" si="0"/>
        <v>-</v>
      </c>
      <c r="F15">
        <v>-1.4E-2</v>
      </c>
      <c r="G15">
        <v>-6</v>
      </c>
      <c r="H15" t="str">
        <f t="shared" si="1"/>
        <v>-</v>
      </c>
      <c r="I15" s="1">
        <v>-0.1</v>
      </c>
      <c r="J15">
        <v>-3.2</v>
      </c>
      <c r="K15" t="str">
        <f t="shared" si="2"/>
        <v>-</v>
      </c>
      <c r="L15">
        <v>-2.7E-2</v>
      </c>
      <c r="M15">
        <v>-14.4</v>
      </c>
      <c r="N15" t="str">
        <f t="shared" si="3"/>
        <v>-</v>
      </c>
      <c r="O15" s="1">
        <v>-0.16</v>
      </c>
      <c r="P15">
        <v>-5.4</v>
      </c>
      <c r="Q15" t="str">
        <f t="shared" si="4"/>
        <v>-</v>
      </c>
      <c r="R15">
        <v>-2.5999999999999999E-2</v>
      </c>
      <c r="S15">
        <v>-14.4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0.62</v>
      </c>
      <c r="D16">
        <v>129.19999999999999</v>
      </c>
      <c r="E16" t="str">
        <f t="shared" si="0"/>
        <v>?</v>
      </c>
      <c r="F16">
        <v>5.2999999999999999E-2</v>
      </c>
      <c r="G16">
        <v>89.8</v>
      </c>
      <c r="H16" t="str">
        <f t="shared" si="1"/>
        <v>?</v>
      </c>
      <c r="I16" s="1">
        <v>0.56999999999999995</v>
      </c>
      <c r="J16">
        <v>114</v>
      </c>
      <c r="K16" t="str">
        <f t="shared" si="2"/>
        <v>?</v>
      </c>
      <c r="L16">
        <v>4.9000000000000002E-2</v>
      </c>
      <c r="M16">
        <v>92.5</v>
      </c>
      <c r="N16" t="str">
        <f t="shared" si="3"/>
        <v>?</v>
      </c>
      <c r="O16" s="1">
        <v>0.34</v>
      </c>
      <c r="P16">
        <v>48.6</v>
      </c>
      <c r="Q16" t="str">
        <f t="shared" si="4"/>
        <v>-</v>
      </c>
      <c r="R16">
        <v>0.09</v>
      </c>
      <c r="S16">
        <v>173.1</v>
      </c>
      <c r="T16" s="2" t="str">
        <f t="shared" si="5"/>
        <v>?</v>
      </c>
    </row>
    <row r="17" spans="1:20">
      <c r="A17" s="11" t="s">
        <v>9</v>
      </c>
      <c r="B17" s="12" t="s">
        <v>16</v>
      </c>
      <c r="C17">
        <v>-0.42</v>
      </c>
      <c r="D17">
        <v>-25.9</v>
      </c>
      <c r="E17" t="str">
        <f t="shared" si="0"/>
        <v>-</v>
      </c>
      <c r="F17">
        <v>-2.1000000000000001E-2</v>
      </c>
      <c r="G17">
        <v>-16.8</v>
      </c>
      <c r="H17" t="str">
        <f t="shared" si="1"/>
        <v>-</v>
      </c>
      <c r="I17" s="1">
        <v>-0.35</v>
      </c>
      <c r="J17">
        <v>-24.6</v>
      </c>
      <c r="K17" t="str">
        <f t="shared" si="2"/>
        <v>-</v>
      </c>
      <c r="L17">
        <v>-3.6999999999999998E-2</v>
      </c>
      <c r="M17">
        <v>-29.8</v>
      </c>
      <c r="N17" t="str">
        <f t="shared" si="3"/>
        <v>-</v>
      </c>
      <c r="O17" s="1">
        <v>-0.34</v>
      </c>
      <c r="P17">
        <v>-24.3</v>
      </c>
      <c r="Q17" t="str">
        <f t="shared" si="4"/>
        <v>-</v>
      </c>
      <c r="R17">
        <v>-3.2000000000000001E-2</v>
      </c>
      <c r="S17">
        <v>-26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-0.34</v>
      </c>
      <c r="D18">
        <v>-26</v>
      </c>
      <c r="E18" t="str">
        <f t="shared" si="0"/>
        <v>-</v>
      </c>
      <c r="F18">
        <v>1E-3</v>
      </c>
      <c r="G18">
        <v>1.1000000000000001</v>
      </c>
      <c r="H18" t="str">
        <f t="shared" si="1"/>
        <v>-</v>
      </c>
      <c r="I18" s="1">
        <v>-0.44</v>
      </c>
      <c r="J18">
        <v>-33.299999999999997</v>
      </c>
      <c r="K18" t="str">
        <f t="shared" si="2"/>
        <v>-</v>
      </c>
      <c r="L18">
        <v>-0.03</v>
      </c>
      <c r="M18">
        <v>-26.1</v>
      </c>
      <c r="N18" t="str">
        <f t="shared" si="3"/>
        <v>-</v>
      </c>
      <c r="O18" s="1">
        <v>-0.27</v>
      </c>
      <c r="P18">
        <v>-22.7</v>
      </c>
      <c r="Q18" t="str">
        <f t="shared" si="4"/>
        <v>-</v>
      </c>
      <c r="R18">
        <v>-2.1000000000000001E-2</v>
      </c>
      <c r="S18">
        <v>-21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0.8</v>
      </c>
      <c r="D19">
        <v>29.1</v>
      </c>
      <c r="E19" t="str">
        <f t="shared" si="0"/>
        <v>-</v>
      </c>
      <c r="F19">
        <v>3.9E-2</v>
      </c>
      <c r="G19">
        <v>21.7</v>
      </c>
      <c r="H19" t="str">
        <f t="shared" si="1"/>
        <v>-</v>
      </c>
      <c r="I19" s="1">
        <v>-0.26</v>
      </c>
      <c r="J19">
        <v>-9.1999999999999993</v>
      </c>
      <c r="K19" t="str">
        <f t="shared" si="2"/>
        <v>-</v>
      </c>
      <c r="L19">
        <v>-4.3999999999999997E-2</v>
      </c>
      <c r="M19">
        <v>-22.7</v>
      </c>
      <c r="N19" t="str">
        <f t="shared" si="3"/>
        <v>-</v>
      </c>
      <c r="O19" s="1">
        <v>0.26</v>
      </c>
      <c r="P19">
        <v>10.199999999999999</v>
      </c>
      <c r="Q19" t="str">
        <f t="shared" si="4"/>
        <v>-</v>
      </c>
      <c r="R19">
        <v>-2.5000000000000001E-2</v>
      </c>
      <c r="S19">
        <v>-13.9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0.13</v>
      </c>
      <c r="D20">
        <v>28.9</v>
      </c>
      <c r="E20" t="str">
        <f t="shared" si="0"/>
        <v>-</v>
      </c>
      <c r="F20">
        <v>1.7000000000000001E-2</v>
      </c>
      <c r="G20">
        <v>31.5</v>
      </c>
      <c r="H20" t="str">
        <f t="shared" si="1"/>
        <v>-</v>
      </c>
      <c r="I20" s="1">
        <v>0.38</v>
      </c>
      <c r="J20">
        <v>77.599999999999994</v>
      </c>
      <c r="K20" t="str">
        <f t="shared" si="2"/>
        <v>?</v>
      </c>
      <c r="L20">
        <v>5.7000000000000002E-2</v>
      </c>
      <c r="M20">
        <v>100</v>
      </c>
      <c r="N20" t="str">
        <f t="shared" si="3"/>
        <v>?</v>
      </c>
      <c r="O20" s="1">
        <v>-0.12</v>
      </c>
      <c r="P20">
        <v>-17.899999999999999</v>
      </c>
      <c r="Q20" t="str">
        <f t="shared" si="4"/>
        <v>-</v>
      </c>
      <c r="R20">
        <v>0</v>
      </c>
      <c r="S20">
        <v>0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-0.09</v>
      </c>
      <c r="D21">
        <v>-6.7</v>
      </c>
      <c r="E21" t="str">
        <f t="shared" si="0"/>
        <v>-</v>
      </c>
      <c r="F21">
        <v>-4.0000000000000001E-3</v>
      </c>
      <c r="G21">
        <v>-3.7</v>
      </c>
      <c r="H21" t="str">
        <f t="shared" si="1"/>
        <v>-</v>
      </c>
      <c r="I21" s="1">
        <v>-0.21</v>
      </c>
      <c r="J21">
        <v>-16</v>
      </c>
      <c r="K21" t="str">
        <f t="shared" si="2"/>
        <v>-</v>
      </c>
      <c r="L21">
        <v>-2.3E-2</v>
      </c>
      <c r="M21">
        <v>-20.2</v>
      </c>
      <c r="N21" t="str">
        <f t="shared" si="3"/>
        <v>-</v>
      </c>
      <c r="O21" s="1">
        <v>-0.12</v>
      </c>
      <c r="P21">
        <v>-9.6999999999999993</v>
      </c>
      <c r="Q21" t="str">
        <f t="shared" si="4"/>
        <v>-</v>
      </c>
      <c r="R21">
        <v>-1.9E-2</v>
      </c>
      <c r="S21">
        <v>-17.3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-0.17</v>
      </c>
      <c r="D22">
        <v>-14.7</v>
      </c>
      <c r="E22" t="str">
        <f t="shared" si="0"/>
        <v>-</v>
      </c>
      <c r="F22">
        <v>-1.7000000000000001E-2</v>
      </c>
      <c r="G22">
        <v>-17.7</v>
      </c>
      <c r="H22" t="str">
        <f t="shared" si="1"/>
        <v>-</v>
      </c>
      <c r="I22" s="1">
        <v>-0.18</v>
      </c>
      <c r="J22">
        <v>-16.5</v>
      </c>
      <c r="K22" t="str">
        <f t="shared" si="2"/>
        <v>-</v>
      </c>
      <c r="L22">
        <v>-7.0000000000000001E-3</v>
      </c>
      <c r="M22">
        <v>-8</v>
      </c>
      <c r="N22" t="str">
        <f t="shared" si="3"/>
        <v>-</v>
      </c>
      <c r="O22" s="1">
        <v>-0.22</v>
      </c>
      <c r="P22">
        <v>-19.5</v>
      </c>
      <c r="Q22" t="str">
        <f t="shared" si="4"/>
        <v>-</v>
      </c>
      <c r="R22">
        <v>-2E-3</v>
      </c>
      <c r="S22">
        <v>-2.4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-0.61</v>
      </c>
      <c r="D23">
        <v>-14.6</v>
      </c>
      <c r="E23" t="str">
        <f t="shared" si="0"/>
        <v>-</v>
      </c>
      <c r="F23">
        <v>-1.0999999999999999E-2</v>
      </c>
      <c r="G23">
        <v>-4.8</v>
      </c>
      <c r="H23" t="str">
        <f t="shared" si="1"/>
        <v>-</v>
      </c>
      <c r="I23" s="1">
        <v>-0.64</v>
      </c>
      <c r="J23">
        <v>-16.7</v>
      </c>
      <c r="K23" t="str">
        <f t="shared" si="2"/>
        <v>-</v>
      </c>
      <c r="L23">
        <v>-3.5000000000000003E-2</v>
      </c>
      <c r="M23">
        <v>-17.5</v>
      </c>
      <c r="N23" t="str">
        <f t="shared" si="3"/>
        <v>-</v>
      </c>
      <c r="O23" s="1">
        <v>-0.48</v>
      </c>
      <c r="P23">
        <v>-13.5</v>
      </c>
      <c r="Q23" t="str">
        <f t="shared" si="4"/>
        <v>-</v>
      </c>
      <c r="R23">
        <v>-1.4999999999999999E-2</v>
      </c>
      <c r="S23">
        <v>-8.3000000000000007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0.06</v>
      </c>
      <c r="D24">
        <v>7.8</v>
      </c>
      <c r="E24" t="str">
        <f t="shared" si="0"/>
        <v>-</v>
      </c>
      <c r="F24">
        <v>4.2999999999999997E-2</v>
      </c>
      <c r="G24">
        <v>95.6</v>
      </c>
      <c r="H24" t="str">
        <f t="shared" si="1"/>
        <v>?</v>
      </c>
      <c r="I24" s="1">
        <v>0.33</v>
      </c>
      <c r="J24">
        <v>70.2</v>
      </c>
      <c r="K24" t="str">
        <f t="shared" si="2"/>
        <v>?</v>
      </c>
      <c r="L24">
        <v>2.4E-2</v>
      </c>
      <c r="M24">
        <v>42.1</v>
      </c>
      <c r="N24" t="str">
        <f t="shared" si="3"/>
        <v>-</v>
      </c>
      <c r="O24" s="1">
        <v>0.18</v>
      </c>
      <c r="P24">
        <v>26.9</v>
      </c>
      <c r="Q24" t="str">
        <f t="shared" si="4"/>
        <v>-</v>
      </c>
      <c r="R24">
        <v>4.1000000000000002E-2</v>
      </c>
      <c r="S24">
        <v>91.1</v>
      </c>
      <c r="T24" s="2" t="str">
        <f t="shared" si="5"/>
        <v>?</v>
      </c>
    </row>
    <row r="25" spans="1:20">
      <c r="A25" s="11" t="s">
        <v>9</v>
      </c>
      <c r="B25" s="12" t="s">
        <v>18</v>
      </c>
      <c r="C25">
        <v>-0.2</v>
      </c>
      <c r="D25">
        <v>-12.7</v>
      </c>
      <c r="E25" t="str">
        <f t="shared" si="0"/>
        <v>-</v>
      </c>
      <c r="F25">
        <v>-1.2999999999999999E-2</v>
      </c>
      <c r="G25">
        <v>-9.4</v>
      </c>
      <c r="H25" t="str">
        <f t="shared" si="1"/>
        <v>-</v>
      </c>
      <c r="I25" s="1">
        <v>-0.32</v>
      </c>
      <c r="J25">
        <v>-20.6</v>
      </c>
      <c r="K25" t="str">
        <f t="shared" si="2"/>
        <v>-</v>
      </c>
      <c r="L25">
        <v>-8.9999999999999993E-3</v>
      </c>
      <c r="M25">
        <v>-7.7</v>
      </c>
      <c r="N25" t="str">
        <f t="shared" si="3"/>
        <v>-</v>
      </c>
      <c r="O25" s="1">
        <v>-0.24</v>
      </c>
      <c r="P25">
        <v>-18</v>
      </c>
      <c r="Q25" t="str">
        <f t="shared" si="4"/>
        <v>-</v>
      </c>
      <c r="R25">
        <v>-2.1999999999999999E-2</v>
      </c>
      <c r="S25">
        <v>-19.5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-0.04</v>
      </c>
      <c r="D26">
        <v>-2.9</v>
      </c>
      <c r="E26" t="str">
        <f t="shared" si="0"/>
        <v>-</v>
      </c>
      <c r="F26">
        <v>2.1999999999999999E-2</v>
      </c>
      <c r="G26">
        <v>21.6</v>
      </c>
      <c r="H26" t="str">
        <f t="shared" si="1"/>
        <v>-</v>
      </c>
      <c r="I26" s="1">
        <v>-0.27</v>
      </c>
      <c r="J26">
        <v>-17.5</v>
      </c>
      <c r="K26" t="str">
        <f t="shared" si="2"/>
        <v>-</v>
      </c>
      <c r="L26">
        <v>0.01</v>
      </c>
      <c r="M26">
        <v>9.6999999999999993</v>
      </c>
      <c r="N26" t="str">
        <f t="shared" si="3"/>
        <v>-</v>
      </c>
      <c r="O26" s="1">
        <v>-0.23</v>
      </c>
      <c r="P26">
        <v>-14.5</v>
      </c>
      <c r="Q26" t="str">
        <f t="shared" si="4"/>
        <v>-</v>
      </c>
      <c r="R26">
        <v>2.8000000000000001E-2</v>
      </c>
      <c r="S26">
        <v>29.5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0.42</v>
      </c>
      <c r="D27">
        <v>11.6</v>
      </c>
      <c r="E27" t="str">
        <f t="shared" si="0"/>
        <v>-</v>
      </c>
      <c r="F27">
        <v>-2E-3</v>
      </c>
      <c r="G27">
        <v>-0.9</v>
      </c>
      <c r="H27" t="str">
        <f t="shared" si="1"/>
        <v>-</v>
      </c>
      <c r="I27" s="1">
        <v>-0.94</v>
      </c>
      <c r="J27">
        <v>-25.7</v>
      </c>
      <c r="K27" t="str">
        <f t="shared" si="2"/>
        <v>-</v>
      </c>
      <c r="L27">
        <v>-4.4999999999999998E-2</v>
      </c>
      <c r="M27">
        <v>-23.7</v>
      </c>
      <c r="N27" t="str">
        <f t="shared" si="3"/>
        <v>-</v>
      </c>
      <c r="O27" s="1">
        <v>-0.56999999999999995</v>
      </c>
      <c r="P27">
        <v>-15.8</v>
      </c>
      <c r="Q27" t="str">
        <f t="shared" si="4"/>
        <v>-</v>
      </c>
      <c r="R27">
        <v>-0.03</v>
      </c>
      <c r="S27">
        <v>-16.100000000000001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0.18</v>
      </c>
      <c r="D28">
        <v>26.5</v>
      </c>
      <c r="E28" t="str">
        <f t="shared" si="0"/>
        <v>-</v>
      </c>
      <c r="F28">
        <v>4.5999999999999999E-2</v>
      </c>
      <c r="G28">
        <v>117.9</v>
      </c>
      <c r="H28" t="str">
        <f t="shared" si="1"/>
        <v>?</v>
      </c>
      <c r="I28" s="1">
        <v>0.01</v>
      </c>
      <c r="J28">
        <v>1.3</v>
      </c>
      <c r="K28" t="str">
        <f t="shared" si="2"/>
        <v>-</v>
      </c>
      <c r="L28">
        <v>1.7000000000000001E-2</v>
      </c>
      <c r="M28">
        <v>27.4</v>
      </c>
      <c r="N28" t="str">
        <f t="shared" si="3"/>
        <v>-</v>
      </c>
      <c r="O28" s="1">
        <v>0.21</v>
      </c>
      <c r="P28">
        <v>31.3</v>
      </c>
      <c r="Q28" t="str">
        <f t="shared" si="4"/>
        <v>-</v>
      </c>
      <c r="R28">
        <v>3.1E-2</v>
      </c>
      <c r="S28">
        <v>81.599999999999994</v>
      </c>
      <c r="T28" s="2" t="str">
        <f t="shared" si="5"/>
        <v>?</v>
      </c>
    </row>
    <row r="29" spans="1:20">
      <c r="A29" s="11" t="s">
        <v>9</v>
      </c>
      <c r="B29" s="13">
        <v>0.4</v>
      </c>
      <c r="C29">
        <v>-0.25</v>
      </c>
      <c r="D29">
        <v>-18.7</v>
      </c>
      <c r="E29" t="str">
        <f t="shared" si="0"/>
        <v>-</v>
      </c>
      <c r="F29">
        <v>-1.2999999999999999E-2</v>
      </c>
      <c r="G29">
        <v>-11.4</v>
      </c>
      <c r="H29" t="str">
        <f t="shared" si="1"/>
        <v>-</v>
      </c>
      <c r="I29" s="1">
        <v>-0.09</v>
      </c>
      <c r="J29">
        <v>-8.1999999999999993</v>
      </c>
      <c r="K29" t="str">
        <f t="shared" si="2"/>
        <v>-</v>
      </c>
      <c r="L29">
        <v>-1.4999999999999999E-2</v>
      </c>
      <c r="M29">
        <v>-15</v>
      </c>
      <c r="N29" t="str">
        <f t="shared" si="3"/>
        <v>-</v>
      </c>
      <c r="O29" s="1">
        <v>-0.09</v>
      </c>
      <c r="P29">
        <v>-8.1999999999999993</v>
      </c>
      <c r="Q29" t="str">
        <f t="shared" si="4"/>
        <v>-</v>
      </c>
      <c r="R29">
        <v>-8.9999999999999993E-3</v>
      </c>
      <c r="S29">
        <v>-9.1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-0.11</v>
      </c>
      <c r="D30">
        <v>-9.1999999999999993</v>
      </c>
      <c r="E30" t="str">
        <f t="shared" si="0"/>
        <v>-</v>
      </c>
      <c r="F30">
        <v>2E-3</v>
      </c>
      <c r="G30">
        <v>1.9</v>
      </c>
      <c r="H30" t="str">
        <f t="shared" si="1"/>
        <v>-</v>
      </c>
      <c r="I30" s="1">
        <v>7.0000000000000007E-2</v>
      </c>
      <c r="J30">
        <v>7.2</v>
      </c>
      <c r="K30" t="str">
        <f t="shared" si="2"/>
        <v>-</v>
      </c>
      <c r="L30">
        <v>8.0000000000000002E-3</v>
      </c>
      <c r="M30">
        <v>10</v>
      </c>
      <c r="N30" t="str">
        <f t="shared" si="3"/>
        <v>-</v>
      </c>
      <c r="O30" s="1">
        <v>-0.18</v>
      </c>
      <c r="P30">
        <v>-16.8</v>
      </c>
      <c r="Q30" t="str">
        <f t="shared" si="4"/>
        <v>-</v>
      </c>
      <c r="R30">
        <v>-5.0000000000000001E-3</v>
      </c>
      <c r="S30">
        <v>-5.4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-0.08</v>
      </c>
      <c r="D31">
        <v>-2.8</v>
      </c>
      <c r="E31" t="str">
        <f t="shared" si="0"/>
        <v>-</v>
      </c>
      <c r="F31">
        <v>1E-3</v>
      </c>
      <c r="G31">
        <v>0.6</v>
      </c>
      <c r="H31" t="str">
        <f t="shared" si="1"/>
        <v>-</v>
      </c>
      <c r="I31" s="1">
        <v>-0.87</v>
      </c>
      <c r="J31">
        <v>-27.5</v>
      </c>
      <c r="K31" t="str">
        <f t="shared" si="2"/>
        <v>-</v>
      </c>
      <c r="L31">
        <v>-4.3999999999999997E-2</v>
      </c>
      <c r="M31">
        <v>-24.6</v>
      </c>
      <c r="N31" t="str">
        <f t="shared" si="3"/>
        <v>-</v>
      </c>
      <c r="O31" s="1">
        <v>-1.22</v>
      </c>
      <c r="P31">
        <v>-36.299999999999997</v>
      </c>
      <c r="Q31" t="str">
        <f t="shared" si="4"/>
        <v>-</v>
      </c>
      <c r="R31">
        <v>-5.8000000000000003E-2</v>
      </c>
      <c r="S31">
        <v>-30.2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-0.21</v>
      </c>
      <c r="D32">
        <v>-24.1</v>
      </c>
      <c r="E32" t="str">
        <f t="shared" si="0"/>
        <v>-</v>
      </c>
      <c r="F32">
        <v>4.0000000000000001E-3</v>
      </c>
      <c r="G32">
        <v>6.6</v>
      </c>
      <c r="H32" t="str">
        <f t="shared" si="1"/>
        <v>-</v>
      </c>
      <c r="I32" s="1">
        <v>0.14000000000000001</v>
      </c>
      <c r="J32">
        <v>22.6</v>
      </c>
      <c r="K32" t="str">
        <f t="shared" si="2"/>
        <v>-</v>
      </c>
      <c r="L32">
        <v>6.0000000000000001E-3</v>
      </c>
      <c r="M32">
        <v>9</v>
      </c>
      <c r="N32" t="str">
        <f t="shared" si="3"/>
        <v>-</v>
      </c>
      <c r="O32" s="1">
        <v>0.1</v>
      </c>
      <c r="P32">
        <v>17.899999999999999</v>
      </c>
      <c r="Q32" t="str">
        <f t="shared" si="4"/>
        <v>-</v>
      </c>
      <c r="R32">
        <v>2.1000000000000001E-2</v>
      </c>
      <c r="S32">
        <v>38.200000000000003</v>
      </c>
      <c r="T32" s="2" t="str">
        <f t="shared" si="5"/>
        <v>-</v>
      </c>
    </row>
    <row r="33" spans="1:20">
      <c r="A33" s="11" t="s">
        <v>9</v>
      </c>
      <c r="B33" s="13">
        <v>0.5</v>
      </c>
      <c r="C33">
        <v>-0.34</v>
      </c>
      <c r="D33">
        <v>-23.4</v>
      </c>
      <c r="E33" t="str">
        <f t="shared" si="0"/>
        <v>-</v>
      </c>
      <c r="F33">
        <v>-2.4E-2</v>
      </c>
      <c r="G33">
        <v>-18.2</v>
      </c>
      <c r="H33" t="str">
        <f t="shared" si="1"/>
        <v>-</v>
      </c>
      <c r="I33" s="1">
        <v>-0.34</v>
      </c>
      <c r="J33">
        <v>-25.8</v>
      </c>
      <c r="K33" t="str">
        <f t="shared" si="2"/>
        <v>-</v>
      </c>
      <c r="L33">
        <v>-3.4000000000000002E-2</v>
      </c>
      <c r="M33">
        <v>-28.6</v>
      </c>
      <c r="N33" t="str">
        <f t="shared" si="3"/>
        <v>-</v>
      </c>
      <c r="O33" s="1">
        <v>-0.37</v>
      </c>
      <c r="P33">
        <v>-28</v>
      </c>
      <c r="Q33" t="str">
        <f t="shared" si="4"/>
        <v>-</v>
      </c>
      <c r="R33">
        <v>-3.7999999999999999E-2</v>
      </c>
      <c r="S33">
        <v>-32.799999999999997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-0.33</v>
      </c>
      <c r="D34">
        <v>-27.3</v>
      </c>
      <c r="E34" t="str">
        <f t="shared" si="0"/>
        <v>-</v>
      </c>
      <c r="F34">
        <v>-0.02</v>
      </c>
      <c r="G34">
        <v>-18.899999999999999</v>
      </c>
      <c r="H34" t="str">
        <f t="shared" si="1"/>
        <v>-</v>
      </c>
      <c r="I34" s="1">
        <v>-0.18</v>
      </c>
      <c r="J34">
        <v>-17.600000000000001</v>
      </c>
      <c r="K34" t="str">
        <f t="shared" si="2"/>
        <v>-</v>
      </c>
      <c r="L34">
        <v>-0.02</v>
      </c>
      <c r="M34">
        <v>-23</v>
      </c>
      <c r="N34" t="str">
        <f t="shared" si="3"/>
        <v>-</v>
      </c>
      <c r="O34" s="1">
        <v>-0.35</v>
      </c>
      <c r="P34">
        <v>-30.2</v>
      </c>
      <c r="Q34" t="str">
        <f t="shared" si="4"/>
        <v>-</v>
      </c>
      <c r="R34">
        <v>-1.7000000000000001E-2</v>
      </c>
      <c r="S34">
        <v>-20.7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-0.14000000000000001</v>
      </c>
      <c r="D35">
        <v>-4.2</v>
      </c>
      <c r="E35" t="str">
        <f t="shared" si="0"/>
        <v>-</v>
      </c>
      <c r="F35">
        <v>-1.4E-2</v>
      </c>
      <c r="G35">
        <v>-7.1</v>
      </c>
      <c r="H35" t="str">
        <f t="shared" si="1"/>
        <v>-</v>
      </c>
      <c r="I35" s="1">
        <v>-0.27</v>
      </c>
      <c r="J35">
        <v>-9.5</v>
      </c>
      <c r="K35" t="str">
        <f t="shared" si="2"/>
        <v>-</v>
      </c>
      <c r="L35">
        <v>-6.0000000000000001E-3</v>
      </c>
      <c r="M35">
        <v>-4.2</v>
      </c>
      <c r="N35" t="str">
        <f t="shared" si="3"/>
        <v>-</v>
      </c>
      <c r="O35" s="1">
        <v>-0.62</v>
      </c>
      <c r="P35">
        <v>-21</v>
      </c>
      <c r="Q35" t="str">
        <f t="shared" si="4"/>
        <v>-</v>
      </c>
      <c r="R35">
        <v>-3.5000000000000003E-2</v>
      </c>
      <c r="S35">
        <v>-22.2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0.1</v>
      </c>
      <c r="D36">
        <v>15.6</v>
      </c>
      <c r="E36" t="str">
        <f t="shared" si="0"/>
        <v>-</v>
      </c>
      <c r="F36">
        <v>3.5000000000000003E-2</v>
      </c>
      <c r="G36">
        <v>68.599999999999994</v>
      </c>
      <c r="H36" t="str">
        <f t="shared" si="1"/>
        <v>?</v>
      </c>
      <c r="I36" s="1">
        <v>-0.15</v>
      </c>
      <c r="J36">
        <v>-17.399999999999999</v>
      </c>
      <c r="K36" t="str">
        <f t="shared" si="2"/>
        <v>-</v>
      </c>
      <c r="L36">
        <v>4.0000000000000001E-3</v>
      </c>
      <c r="M36">
        <v>4.5999999999999996</v>
      </c>
      <c r="N36" t="str">
        <f t="shared" si="3"/>
        <v>-</v>
      </c>
      <c r="O36" s="1">
        <v>-0.08</v>
      </c>
      <c r="P36">
        <v>-11.1</v>
      </c>
      <c r="Q36" t="str">
        <f t="shared" si="4"/>
        <v>-</v>
      </c>
      <c r="R36">
        <v>5.0000000000000001E-3</v>
      </c>
      <c r="S36">
        <v>7.7</v>
      </c>
      <c r="T36" s="2" t="str">
        <f t="shared" si="5"/>
        <v>-</v>
      </c>
    </row>
    <row r="37" spans="1:20">
      <c r="A37" s="11" t="s">
        <v>9</v>
      </c>
      <c r="B37" s="13">
        <v>0.6</v>
      </c>
      <c r="C37">
        <v>-0.44</v>
      </c>
      <c r="D37">
        <v>-28.2</v>
      </c>
      <c r="E37" t="str">
        <f t="shared" si="0"/>
        <v>-</v>
      </c>
      <c r="F37">
        <v>-2.4E-2</v>
      </c>
      <c r="G37">
        <v>-17.600000000000001</v>
      </c>
      <c r="H37" t="str">
        <f t="shared" si="1"/>
        <v>-</v>
      </c>
      <c r="I37" s="1">
        <v>-0.33</v>
      </c>
      <c r="J37">
        <v>-22.1</v>
      </c>
      <c r="K37" t="str">
        <f t="shared" si="2"/>
        <v>-</v>
      </c>
      <c r="L37">
        <v>-3.2000000000000001E-2</v>
      </c>
      <c r="M37">
        <v>-23.7</v>
      </c>
      <c r="N37" t="str">
        <f t="shared" si="3"/>
        <v>-</v>
      </c>
      <c r="O37" s="1">
        <v>-0.38</v>
      </c>
      <c r="P37">
        <v>-25.7</v>
      </c>
      <c r="Q37" t="str">
        <f t="shared" si="4"/>
        <v>-</v>
      </c>
      <c r="R37">
        <v>-4.3999999999999997E-2</v>
      </c>
      <c r="S37">
        <v>-33.1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-0.49</v>
      </c>
      <c r="D38">
        <v>-34.799999999999997</v>
      </c>
      <c r="E38" t="str">
        <f t="shared" si="0"/>
        <v>-</v>
      </c>
      <c r="F38">
        <v>-1.4E-2</v>
      </c>
      <c r="G38">
        <v>-12.5</v>
      </c>
      <c r="H38" t="str">
        <f t="shared" si="1"/>
        <v>-</v>
      </c>
      <c r="I38" s="1">
        <v>-0.28000000000000003</v>
      </c>
      <c r="J38">
        <v>-24.3</v>
      </c>
      <c r="K38" t="str">
        <f t="shared" si="2"/>
        <v>-</v>
      </c>
      <c r="L38">
        <v>-1.4999999999999999E-2</v>
      </c>
      <c r="M38">
        <v>-14.9</v>
      </c>
      <c r="N38" t="str">
        <f t="shared" si="3"/>
        <v>-</v>
      </c>
      <c r="O38" s="1">
        <v>-0.32</v>
      </c>
      <c r="P38">
        <v>-26.4</v>
      </c>
      <c r="Q38" t="str">
        <f t="shared" si="4"/>
        <v>-</v>
      </c>
      <c r="R38">
        <v>-0.02</v>
      </c>
      <c r="S38">
        <v>-20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-0.31</v>
      </c>
      <c r="D39">
        <v>-8.6999999999999993</v>
      </c>
      <c r="E39" t="str">
        <f t="shared" si="0"/>
        <v>-</v>
      </c>
      <c r="F39">
        <v>-2E-3</v>
      </c>
      <c r="G39">
        <v>-0.9</v>
      </c>
      <c r="H39" t="str">
        <f t="shared" si="1"/>
        <v>-</v>
      </c>
      <c r="I39" s="1">
        <v>-0.6</v>
      </c>
      <c r="J39">
        <v>-19.3</v>
      </c>
      <c r="K39" t="str">
        <f t="shared" si="2"/>
        <v>-</v>
      </c>
      <c r="L39">
        <v>-4.4999999999999998E-2</v>
      </c>
      <c r="M39">
        <v>-26.8</v>
      </c>
      <c r="N39" t="str">
        <f t="shared" si="3"/>
        <v>-</v>
      </c>
      <c r="O39" s="1">
        <v>-0.35</v>
      </c>
      <c r="P39">
        <v>-11.1</v>
      </c>
      <c r="Q39" t="str">
        <f t="shared" si="4"/>
        <v>-</v>
      </c>
      <c r="R39">
        <v>-2.5999999999999999E-2</v>
      </c>
      <c r="S39">
        <v>-15.4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7.0000000000000007E-2</v>
      </c>
      <c r="D40">
        <v>12.5</v>
      </c>
      <c r="E40" t="str">
        <f t="shared" si="0"/>
        <v>-</v>
      </c>
      <c r="F40">
        <v>3.1E-2</v>
      </c>
      <c r="G40">
        <v>58.5</v>
      </c>
      <c r="H40" t="str">
        <f t="shared" si="1"/>
        <v>?</v>
      </c>
      <c r="I40" s="1">
        <v>0.25</v>
      </c>
      <c r="J40">
        <v>53.2</v>
      </c>
      <c r="K40" t="str">
        <f t="shared" si="2"/>
        <v>?</v>
      </c>
      <c r="L40">
        <v>2.5000000000000001E-2</v>
      </c>
      <c r="M40">
        <v>55.6</v>
      </c>
      <c r="N40" t="str">
        <f t="shared" si="3"/>
        <v>?</v>
      </c>
      <c r="O40" s="1">
        <v>0.21</v>
      </c>
      <c r="P40">
        <v>32.799999999999997</v>
      </c>
      <c r="Q40" t="str">
        <f t="shared" si="4"/>
        <v>-</v>
      </c>
      <c r="R40">
        <v>3.9E-2</v>
      </c>
      <c r="S40">
        <v>81.2</v>
      </c>
      <c r="T40" s="2" t="str">
        <f t="shared" si="5"/>
        <v>?</v>
      </c>
    </row>
    <row r="41" spans="1:20">
      <c r="A41" s="11" t="s">
        <v>9</v>
      </c>
      <c r="B41" s="13">
        <v>0.7</v>
      </c>
      <c r="C41">
        <v>-0.55000000000000004</v>
      </c>
      <c r="D41">
        <v>-29.7</v>
      </c>
      <c r="E41" t="str">
        <f t="shared" si="0"/>
        <v>-</v>
      </c>
      <c r="F41">
        <v>-1.2E-2</v>
      </c>
      <c r="G41">
        <v>-9.3000000000000007</v>
      </c>
      <c r="H41" t="str">
        <f t="shared" si="1"/>
        <v>-</v>
      </c>
      <c r="I41" s="1">
        <v>-0.64</v>
      </c>
      <c r="J41">
        <v>-34.200000000000003</v>
      </c>
      <c r="K41" t="str">
        <f t="shared" si="2"/>
        <v>-</v>
      </c>
      <c r="L41">
        <v>-4.5999999999999999E-2</v>
      </c>
      <c r="M41">
        <v>-30.3</v>
      </c>
      <c r="N41" t="str">
        <f t="shared" si="3"/>
        <v>-</v>
      </c>
      <c r="O41" s="1">
        <v>-0.65</v>
      </c>
      <c r="P41">
        <v>-36.1</v>
      </c>
      <c r="Q41" t="str">
        <f t="shared" si="4"/>
        <v>-</v>
      </c>
      <c r="R41">
        <v>-5.2999999999999999E-2</v>
      </c>
      <c r="S41">
        <v>-36.1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-0.65</v>
      </c>
      <c r="D42">
        <v>-39.200000000000003</v>
      </c>
      <c r="E42" t="str">
        <f t="shared" si="0"/>
        <v>-</v>
      </c>
      <c r="F42">
        <v>-2.4E-2</v>
      </c>
      <c r="G42">
        <v>-22.2</v>
      </c>
      <c r="H42" t="str">
        <f t="shared" si="1"/>
        <v>-</v>
      </c>
      <c r="I42" s="1">
        <v>-0.48</v>
      </c>
      <c r="J42">
        <v>-31.6</v>
      </c>
      <c r="K42" t="str">
        <f t="shared" si="2"/>
        <v>-</v>
      </c>
      <c r="L42">
        <v>-2.1000000000000001E-2</v>
      </c>
      <c r="M42">
        <v>-21.4</v>
      </c>
      <c r="N42" t="str">
        <f t="shared" si="3"/>
        <v>-</v>
      </c>
      <c r="O42" s="1">
        <v>-0.63</v>
      </c>
      <c r="P42">
        <v>-39.4</v>
      </c>
      <c r="Q42" t="str">
        <f t="shared" si="4"/>
        <v>-</v>
      </c>
      <c r="R42">
        <v>-4.7E-2</v>
      </c>
      <c r="S42">
        <v>-42.7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-1.45</v>
      </c>
      <c r="D43">
        <v>-30.2</v>
      </c>
      <c r="E43" t="str">
        <f t="shared" si="0"/>
        <v>-</v>
      </c>
      <c r="F43">
        <v>-3.2000000000000001E-2</v>
      </c>
      <c r="G43">
        <v>-13.4</v>
      </c>
      <c r="H43" t="str">
        <f t="shared" si="1"/>
        <v>-</v>
      </c>
      <c r="I43" s="1">
        <v>-1.66</v>
      </c>
      <c r="J43">
        <v>-37.799999999999997</v>
      </c>
      <c r="K43" t="str">
        <f t="shared" si="2"/>
        <v>-</v>
      </c>
      <c r="L43">
        <v>-5.2999999999999999E-2</v>
      </c>
      <c r="M43">
        <v>-25.2</v>
      </c>
      <c r="N43" t="str">
        <f t="shared" si="3"/>
        <v>-</v>
      </c>
      <c r="O43" s="1">
        <v>-1.31</v>
      </c>
      <c r="P43">
        <v>-30.3</v>
      </c>
      <c r="Q43" t="str">
        <f t="shared" si="4"/>
        <v>-</v>
      </c>
      <c r="R43">
        <v>-5.3999999999999999E-2</v>
      </c>
      <c r="S43">
        <v>-25.8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0.23</v>
      </c>
      <c r="D44">
        <v>30.7</v>
      </c>
      <c r="E44" t="str">
        <f t="shared" si="0"/>
        <v>-</v>
      </c>
      <c r="F44">
        <v>3.1E-2</v>
      </c>
      <c r="G44">
        <v>39.200000000000003</v>
      </c>
      <c r="H44" t="str">
        <f t="shared" si="1"/>
        <v>-</v>
      </c>
      <c r="I44" s="1">
        <v>0.34</v>
      </c>
      <c r="J44">
        <v>61.8</v>
      </c>
      <c r="K44" t="str">
        <f t="shared" si="2"/>
        <v>?</v>
      </c>
      <c r="L44">
        <v>6.3E-2</v>
      </c>
      <c r="M44">
        <v>121.2</v>
      </c>
      <c r="N44" t="str">
        <f t="shared" si="3"/>
        <v>?</v>
      </c>
      <c r="O44" s="1">
        <v>-7.0000000000000007E-2</v>
      </c>
      <c r="P44">
        <v>-8</v>
      </c>
      <c r="Q44" t="str">
        <f t="shared" si="4"/>
        <v>-</v>
      </c>
      <c r="R44">
        <v>0.01</v>
      </c>
      <c r="S44">
        <v>14.3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-1.02</v>
      </c>
      <c r="D45">
        <v>-41.6</v>
      </c>
      <c r="E45" t="str">
        <f t="shared" si="0"/>
        <v>-</v>
      </c>
      <c r="F45">
        <v>-1.2999999999999999E-2</v>
      </c>
      <c r="G45">
        <v>-10</v>
      </c>
      <c r="H45" t="str">
        <f t="shared" si="1"/>
        <v>-</v>
      </c>
      <c r="I45" s="1">
        <v>-1.1200000000000001</v>
      </c>
      <c r="J45">
        <v>-45.5</v>
      </c>
      <c r="K45" t="str">
        <f t="shared" si="2"/>
        <v>-</v>
      </c>
      <c r="L45">
        <v>-4.7E-2</v>
      </c>
      <c r="M45">
        <v>-29</v>
      </c>
      <c r="N45" t="str">
        <f t="shared" si="3"/>
        <v>-</v>
      </c>
      <c r="O45" s="1">
        <v>-1.17</v>
      </c>
      <c r="P45">
        <v>-46.1</v>
      </c>
      <c r="Q45" t="str">
        <f t="shared" si="4"/>
        <v>-</v>
      </c>
      <c r="R45">
        <v>-5.7000000000000002E-2</v>
      </c>
      <c r="S45">
        <v>-33.700000000000003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-1</v>
      </c>
      <c r="D46">
        <v>-46.9</v>
      </c>
      <c r="E46" t="str">
        <f t="shared" si="0"/>
        <v>-</v>
      </c>
      <c r="F46">
        <v>-2E-3</v>
      </c>
      <c r="G46">
        <v>-2.5</v>
      </c>
      <c r="H46" t="str">
        <f t="shared" si="1"/>
        <v>-</v>
      </c>
      <c r="I46" s="1">
        <v>-0.79</v>
      </c>
      <c r="J46">
        <v>-38.9</v>
      </c>
      <c r="K46" t="str">
        <f t="shared" si="2"/>
        <v>-</v>
      </c>
      <c r="L46">
        <v>-3.7999999999999999E-2</v>
      </c>
      <c r="M46">
        <v>-34.200000000000003</v>
      </c>
      <c r="N46" t="str">
        <f t="shared" si="3"/>
        <v>-</v>
      </c>
      <c r="O46" s="1">
        <v>-0.99</v>
      </c>
      <c r="P46">
        <v>-46.3</v>
      </c>
      <c r="Q46" t="str">
        <f t="shared" si="4"/>
        <v>-</v>
      </c>
      <c r="R46">
        <v>-3.5999999999999997E-2</v>
      </c>
      <c r="S46">
        <v>-32.4</v>
      </c>
      <c r="T46" s="2" t="str">
        <f t="shared" si="5"/>
        <v>-</v>
      </c>
    </row>
    <row r="47" spans="1:20">
      <c r="A47" s="11" t="s">
        <v>12</v>
      </c>
      <c r="B47" s="13">
        <v>0.8</v>
      </c>
      <c r="C47">
        <v>-2.73</v>
      </c>
      <c r="D47">
        <v>-45.3</v>
      </c>
      <c r="E47" t="str">
        <f t="shared" si="0"/>
        <v>-</v>
      </c>
      <c r="F47">
        <v>-9.0999999999999998E-2</v>
      </c>
      <c r="G47">
        <v>-30</v>
      </c>
      <c r="H47" t="str">
        <f t="shared" si="1"/>
        <v>-</v>
      </c>
      <c r="I47" s="1">
        <v>-2.3199999999999998</v>
      </c>
      <c r="J47">
        <v>-42.9</v>
      </c>
      <c r="K47" t="str">
        <f t="shared" si="2"/>
        <v>-</v>
      </c>
      <c r="L47">
        <v>-8.5000000000000006E-2</v>
      </c>
      <c r="M47">
        <v>-33.6</v>
      </c>
      <c r="N47" t="str">
        <f t="shared" si="3"/>
        <v>-</v>
      </c>
      <c r="O47" s="1">
        <v>-2.06</v>
      </c>
      <c r="P47">
        <v>-39.299999999999997</v>
      </c>
      <c r="Q47" t="str">
        <f t="shared" si="4"/>
        <v>-</v>
      </c>
      <c r="R47">
        <v>-8.6999999999999994E-2</v>
      </c>
      <c r="S47">
        <v>-35.200000000000003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0.04</v>
      </c>
      <c r="D48">
        <v>3.8</v>
      </c>
      <c r="E48" t="str">
        <f t="shared" si="0"/>
        <v>-</v>
      </c>
      <c r="F48">
        <v>0.04</v>
      </c>
      <c r="G48">
        <v>41.2</v>
      </c>
      <c r="H48" t="str">
        <f t="shared" si="1"/>
        <v>-</v>
      </c>
      <c r="I48" s="1">
        <v>0.13</v>
      </c>
      <c r="J48">
        <v>14.3</v>
      </c>
      <c r="K48" t="str">
        <f t="shared" si="2"/>
        <v>-</v>
      </c>
      <c r="L48">
        <v>4.5999999999999999E-2</v>
      </c>
      <c r="M48">
        <v>75.400000000000006</v>
      </c>
      <c r="N48" t="str">
        <f t="shared" si="3"/>
        <v>?</v>
      </c>
      <c r="O48" s="1">
        <v>0.06</v>
      </c>
      <c r="P48">
        <v>7.2</v>
      </c>
      <c r="Q48" t="str">
        <f t="shared" si="4"/>
        <v>-</v>
      </c>
      <c r="R48">
        <v>2.5999999999999999E-2</v>
      </c>
      <c r="S48">
        <v>45.6</v>
      </c>
      <c r="T48" s="2" t="str">
        <f t="shared" si="5"/>
        <v>-</v>
      </c>
    </row>
    <row r="49" spans="1:20">
      <c r="A49" s="11" t="s">
        <v>9</v>
      </c>
      <c r="B49" s="13">
        <v>0.9</v>
      </c>
      <c r="C49">
        <v>-2.91</v>
      </c>
      <c r="D49">
        <v>-58.2</v>
      </c>
      <c r="E49" t="str">
        <f t="shared" si="0"/>
        <v>?</v>
      </c>
      <c r="F49">
        <v>-7.0000000000000007E-2</v>
      </c>
      <c r="G49">
        <v>-32.4</v>
      </c>
      <c r="H49" t="str">
        <f t="shared" si="1"/>
        <v>-</v>
      </c>
      <c r="I49" s="1">
        <v>-3.17</v>
      </c>
      <c r="J49">
        <v>-61.8</v>
      </c>
      <c r="K49" t="str">
        <f t="shared" si="2"/>
        <v>?</v>
      </c>
      <c r="L49">
        <v>-0.17100000000000001</v>
      </c>
      <c r="M49">
        <v>-56.4</v>
      </c>
      <c r="N49" t="str">
        <f t="shared" si="3"/>
        <v>?</v>
      </c>
      <c r="O49" s="1">
        <v>-3.22</v>
      </c>
      <c r="P49">
        <v>-62.6</v>
      </c>
      <c r="Q49" t="str">
        <f t="shared" si="4"/>
        <v>?</v>
      </c>
      <c r="R49">
        <v>-0.16700000000000001</v>
      </c>
      <c r="S49">
        <v>-56</v>
      </c>
      <c r="T49" s="2" t="str">
        <f t="shared" si="5"/>
        <v>?</v>
      </c>
    </row>
    <row r="50" spans="1:20">
      <c r="A50" s="11" t="s">
        <v>11</v>
      </c>
      <c r="B50" s="13">
        <v>0.9</v>
      </c>
      <c r="C50">
        <v>-2.2999999999999998</v>
      </c>
      <c r="D50">
        <v>-56.5</v>
      </c>
      <c r="E50" t="str">
        <f t="shared" si="0"/>
        <v>?</v>
      </c>
      <c r="F50">
        <v>-7.0000000000000007E-2</v>
      </c>
      <c r="G50">
        <v>-42.9</v>
      </c>
      <c r="H50" t="str">
        <f t="shared" si="1"/>
        <v>-</v>
      </c>
      <c r="I50" s="1">
        <v>-2.5</v>
      </c>
      <c r="J50">
        <v>-61.6</v>
      </c>
      <c r="K50" t="str">
        <f t="shared" si="2"/>
        <v>?</v>
      </c>
      <c r="L50">
        <v>-0.10299999999999999</v>
      </c>
      <c r="M50">
        <v>-57.9</v>
      </c>
      <c r="N50" t="str">
        <f t="shared" si="3"/>
        <v>?</v>
      </c>
      <c r="O50" s="1">
        <v>-2.4</v>
      </c>
      <c r="P50">
        <v>-59.9</v>
      </c>
      <c r="Q50" t="str">
        <f t="shared" si="4"/>
        <v>?</v>
      </c>
      <c r="R50">
        <v>-0.11</v>
      </c>
      <c r="S50">
        <v>-62.1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-6.51</v>
      </c>
      <c r="D51">
        <v>-59.6</v>
      </c>
      <c r="E51" t="str">
        <f t="shared" si="0"/>
        <v>?</v>
      </c>
      <c r="F51">
        <v>-0.22</v>
      </c>
      <c r="G51">
        <v>-54.1</v>
      </c>
      <c r="H51" t="str">
        <f t="shared" si="1"/>
        <v>?</v>
      </c>
      <c r="I51" s="1">
        <v>-6.2</v>
      </c>
      <c r="J51">
        <v>-60.1</v>
      </c>
      <c r="K51" t="str">
        <f t="shared" si="2"/>
        <v>?</v>
      </c>
      <c r="L51">
        <v>-0.28000000000000003</v>
      </c>
      <c r="M51">
        <v>-66.7</v>
      </c>
      <c r="N51" t="str">
        <f t="shared" si="3"/>
        <v>?</v>
      </c>
      <c r="O51" s="1">
        <v>-6.02</v>
      </c>
      <c r="P51">
        <v>-60.1</v>
      </c>
      <c r="Q51" t="str">
        <f t="shared" si="4"/>
        <v>?</v>
      </c>
      <c r="R51">
        <v>-0.27</v>
      </c>
      <c r="S51">
        <v>-67</v>
      </c>
      <c r="T51" s="2" t="str">
        <f t="shared" si="5"/>
        <v>?</v>
      </c>
    </row>
    <row r="52" spans="1:20">
      <c r="A52" s="11" t="s">
        <v>13</v>
      </c>
      <c r="B52" s="13">
        <v>0.9</v>
      </c>
      <c r="C52">
        <v>-0.21</v>
      </c>
      <c r="D52">
        <v>-8</v>
      </c>
      <c r="E52" t="str">
        <f t="shared" si="0"/>
        <v>-</v>
      </c>
      <c r="F52">
        <v>8.8999999999999996E-2</v>
      </c>
      <c r="G52">
        <v>95.7</v>
      </c>
      <c r="H52" t="str">
        <f t="shared" si="1"/>
        <v>?</v>
      </c>
      <c r="I52" s="1">
        <v>-0.23</v>
      </c>
      <c r="J52">
        <v>-9.6</v>
      </c>
      <c r="K52" t="str">
        <f t="shared" si="2"/>
        <v>-</v>
      </c>
      <c r="L52">
        <v>8.5000000000000006E-2</v>
      </c>
      <c r="M52">
        <v>113.3</v>
      </c>
      <c r="N52" t="str">
        <f t="shared" si="3"/>
        <v>?</v>
      </c>
      <c r="O52" s="1">
        <v>-0.57999999999999996</v>
      </c>
      <c r="P52">
        <v>-22.1</v>
      </c>
      <c r="Q52" t="str">
        <f t="shared" si="4"/>
        <v>-</v>
      </c>
      <c r="R52">
        <v>4.4999999999999998E-2</v>
      </c>
      <c r="S52">
        <v>45.5</v>
      </c>
      <c r="T52" s="2" t="str">
        <f t="shared" si="5"/>
        <v>-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-0.66395833333333332</v>
      </c>
      <c r="D56">
        <f>AVERAGE(D$5:D$52)</f>
        <v>-14.216666666666667</v>
      </c>
      <c r="F56">
        <f>AVERAGE(F$5:F$52)</f>
        <v>-1.116666666666667E-2</v>
      </c>
      <c r="G56">
        <f>AVERAGE(G$5:G$52)</f>
        <v>4.2312499999999993</v>
      </c>
      <c r="H56" s="25"/>
      <c r="I56" s="1">
        <f>AVERAGE(I$5:I$52)</f>
        <v>-0.68479166666666658</v>
      </c>
      <c r="J56">
        <f>AVERAGE(J$5:J$52)</f>
        <v>-12.1875</v>
      </c>
      <c r="L56">
        <f>AVERAGE(L$5:L$52)</f>
        <v>-2.8104166666666677E-2</v>
      </c>
      <c r="M56">
        <f>AVERAGE(M$5:M$52)</f>
        <v>-4.2645833333333334</v>
      </c>
      <c r="N56" s="2"/>
      <c r="O56" s="25">
        <f>AVERAGE(O$5:O$52)</f>
        <v>-0.69145833333333317</v>
      </c>
      <c r="P56">
        <f>AVERAGE(P$5:P$52)</f>
        <v>-18.65625</v>
      </c>
      <c r="R56">
        <f>AVERAGE(R$5:R$52)</f>
        <v>-3.0541666666666679E-2</v>
      </c>
      <c r="S56">
        <f>AVERAGE(S$5:S$52)</f>
        <v>-7.1125000000000016</v>
      </c>
      <c r="T56" s="25"/>
    </row>
    <row r="57" spans="1:20">
      <c r="B57" s="4" t="s">
        <v>20</v>
      </c>
      <c r="C57" s="25">
        <f>MEDIAN(C$5:C$52)</f>
        <v>-0.33500000000000002</v>
      </c>
      <c r="D57">
        <f>MEDIAN(D$5:D$52)</f>
        <v>-21.049999999999997</v>
      </c>
      <c r="F57">
        <f>MEDIAN(F$5:F$52)</f>
        <v>-1.2999999999999999E-2</v>
      </c>
      <c r="G57">
        <f>MEDIAN(G$5:G$52)</f>
        <v>-8.1999999999999993</v>
      </c>
      <c r="H57" s="25"/>
      <c r="I57" s="1">
        <f>MEDIAN(I$5:I$52)</f>
        <v>-0.33500000000000002</v>
      </c>
      <c r="J57">
        <f>MEDIAN(J$5:J$52)</f>
        <v>-21.35</v>
      </c>
      <c r="L57">
        <f>MEDIAN(L$5:L$52)</f>
        <v>-2.8999999999999998E-2</v>
      </c>
      <c r="M57">
        <f>MEDIAN(M$5:M$52)</f>
        <v>-22.85</v>
      </c>
      <c r="N57" s="2"/>
      <c r="O57" s="25">
        <f>MEDIAN(O$5:O$52)</f>
        <v>-0.36</v>
      </c>
      <c r="P57">
        <f>MEDIAN(P$5:P$52)</f>
        <v>-22.4</v>
      </c>
      <c r="R57">
        <f>MEDIAN(R$5:R$52)</f>
        <v>-2.5999999999999999E-2</v>
      </c>
      <c r="S57">
        <f>MEDIAN(S$5:S$52)</f>
        <v>-20.350000000000001</v>
      </c>
      <c r="T57" s="25"/>
    </row>
    <row r="58" spans="1:20">
      <c r="B58" s="4" t="s">
        <v>21</v>
      </c>
      <c r="C58" s="25">
        <f>STDEV(C$5:C$52)</f>
        <v>1.2322678273114778</v>
      </c>
      <c r="D58">
        <f>STDEV(D$5:D$52)</f>
        <v>33.561384429470344</v>
      </c>
      <c r="F58">
        <f>STDEV(F$5:F$52)</f>
        <v>4.8394800728886696E-2</v>
      </c>
      <c r="G58">
        <f>STDEV(G$5:G$52)</f>
        <v>38.362388252646731</v>
      </c>
      <c r="H58" s="25"/>
      <c r="I58" s="1">
        <f>STDEV(I$5:I$52)</f>
        <v>1.1835881068756937</v>
      </c>
      <c r="J58">
        <f>STDEV(J$5:J$52)</f>
        <v>39.792106696167131</v>
      </c>
      <c r="L58">
        <f>STDEV(L$5:L$52)</f>
        <v>6.3030637461993416E-2</v>
      </c>
      <c r="M58">
        <f>STDEV(M$5:M$52)</f>
        <v>46.494673634927693</v>
      </c>
      <c r="N58" s="2"/>
      <c r="O58" s="25">
        <f>STDEV(O$5:O$52)</f>
        <v>1.1069355621048962</v>
      </c>
      <c r="P58">
        <f>STDEV(P$5:P$52)</f>
        <v>27.509401922777897</v>
      </c>
      <c r="R58">
        <f>STDEV(R$5:R$52)</f>
        <v>5.9154308968185444E-2</v>
      </c>
      <c r="S58">
        <f>STDEV(S$5:S$52)</f>
        <v>44.798060487081969</v>
      </c>
      <c r="T58" s="25"/>
    </row>
    <row r="59" spans="1:20">
      <c r="B59" s="4" t="s">
        <v>22</v>
      </c>
      <c r="C59" s="25">
        <f>COUNTIF(C$5:C$52, "&lt;0")</f>
        <v>37</v>
      </c>
      <c r="D59">
        <f>COUNTIF(D$5:D$52, "&lt;0")</f>
        <v>37</v>
      </c>
      <c r="F59">
        <f>COUNTIF(F$5:F$52, "&lt;0")</f>
        <v>31</v>
      </c>
      <c r="G59">
        <f>COUNTIF(G$5:G$52, "&lt;0")</f>
        <v>31</v>
      </c>
      <c r="H59" s="25"/>
      <c r="I59" s="1">
        <f>COUNTIF(I$5:I$52, "&lt;0")</f>
        <v>37</v>
      </c>
      <c r="J59">
        <f>COUNTIF(J$5:J$52, "&lt;0")</f>
        <v>37</v>
      </c>
      <c r="L59">
        <f>COUNTIF(L$5:L$52, "&lt;0")</f>
        <v>34</v>
      </c>
      <c r="M59">
        <f>COUNTIF(M$5:M$52, "&lt;0")</f>
        <v>34</v>
      </c>
      <c r="N59" s="2"/>
      <c r="O59" s="25">
        <f>COUNTIF(O$5:O$52, "&lt;0")</f>
        <v>39</v>
      </c>
      <c r="P59">
        <f>COUNTIF(P$5:P$52, "&lt;0")</f>
        <v>39</v>
      </c>
      <c r="R59">
        <f>COUNTIF(R$5:R$52, "&lt;0")</f>
        <v>35</v>
      </c>
      <c r="S59">
        <f>COUNTIF(S$5:S$52, "&lt;0")</f>
        <v>35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-0.42833333333333318</v>
      </c>
      <c r="D63">
        <f>AVERAGE(D$5:D$28)</f>
        <v>-6.1833333333333327</v>
      </c>
      <c r="F63">
        <f>AVERAGE(F$5:F$28)</f>
        <v>-5.1666666666666692E-3</v>
      </c>
      <c r="G63">
        <f>AVERAGE(G$5:G$28)</f>
        <v>8.0916666666666668</v>
      </c>
      <c r="H63" s="25"/>
      <c r="I63" s="1">
        <f>AVERAGE(I$5:I$28)</f>
        <v>-0.48249999999999993</v>
      </c>
      <c r="J63">
        <f>AVERAGE(J$5:J$28)</f>
        <v>-6.1833333333333327</v>
      </c>
      <c r="L63">
        <f>AVERAGE(L$5:L$28)</f>
        <v>-2.2125000000000006E-2</v>
      </c>
      <c r="M63">
        <f>AVERAGE(M$5:M$28)</f>
        <v>-3.2625000000000006</v>
      </c>
      <c r="N63" s="2"/>
      <c r="O63" s="25">
        <f>AVERAGE(O$5:O$28)</f>
        <v>-0.43749999999999994</v>
      </c>
      <c r="P63">
        <f>AVERAGE(P$5:P$28)</f>
        <v>-12.016666666666667</v>
      </c>
      <c r="R63">
        <f>AVERAGE(R$5:R$28)</f>
        <v>-1.9958333333333338E-2</v>
      </c>
      <c r="S63">
        <f>AVERAGE(S$5:S$28)</f>
        <v>0.24999999999999764</v>
      </c>
      <c r="T63" s="25"/>
    </row>
    <row r="64" spans="1:20">
      <c r="B64" s="4" t="s">
        <v>20</v>
      </c>
      <c r="C64" s="25">
        <f>MEDIAN(C$5:C$28)</f>
        <v>-0.27</v>
      </c>
      <c r="D64">
        <f>MEDIAN(D$5:D$28)</f>
        <v>-13.649999999999999</v>
      </c>
      <c r="F64">
        <f>MEDIAN(F$5:F$28)</f>
        <v>-1.2E-2</v>
      </c>
      <c r="G64">
        <f>MEDIAN(G$5:G$28)</f>
        <v>-5.4</v>
      </c>
      <c r="H64" s="25"/>
      <c r="I64" s="1">
        <f>MEDIAN(I$5:I$28)</f>
        <v>-0.33499999999999996</v>
      </c>
      <c r="J64">
        <f>MEDIAN(J$5:J$28)</f>
        <v>-19.05</v>
      </c>
      <c r="L64">
        <f>MEDIAN(L$5:L$28)</f>
        <v>-2.8999999999999998E-2</v>
      </c>
      <c r="M64">
        <f>MEDIAN(M$5:M$28)</f>
        <v>-21.45</v>
      </c>
      <c r="N64" s="2"/>
      <c r="O64" s="25">
        <f>MEDIAN(O$5:O$28)</f>
        <v>-0.255</v>
      </c>
      <c r="P64">
        <f>MEDIAN(P$5:P$28)</f>
        <v>-17.95</v>
      </c>
      <c r="R64">
        <f>MEDIAN(R$5:R$28)</f>
        <v>-2.35E-2</v>
      </c>
      <c r="S64">
        <f>MEDIAN(S$5:S$28)</f>
        <v>-16.700000000000003</v>
      </c>
      <c r="T64" s="25"/>
    </row>
    <row r="65" spans="2:20">
      <c r="B65" s="4" t="s">
        <v>21</v>
      </c>
      <c r="C65" s="25">
        <f>STDEV(C$5:C$28)</f>
        <v>0.90058756987562982</v>
      </c>
      <c r="D65">
        <f>STDEV(D$5:D$28)</f>
        <v>39.805185009282241</v>
      </c>
      <c r="F65">
        <f>STDEV(F$5:F$28)</f>
        <v>3.7426643226295436E-2</v>
      </c>
      <c r="G65">
        <f>STDEV(G$5:G$28)</f>
        <v>41.162730258315477</v>
      </c>
      <c r="H65" s="25"/>
      <c r="I65" s="1">
        <f>STDEV(I$5:I$28)</f>
        <v>0.82197138424749261</v>
      </c>
      <c r="J65">
        <f>STDEV(J$5:J$28)</f>
        <v>46.266568516790187</v>
      </c>
      <c r="L65">
        <f>STDEV(L$5:L$28)</f>
        <v>4.9920208071612071E-2</v>
      </c>
      <c r="M65">
        <f>STDEV(M$5:M$28)</f>
        <v>44.66557679018598</v>
      </c>
      <c r="N65" s="2"/>
      <c r="O65" s="25">
        <f>STDEV(O$5:O$28)</f>
        <v>0.70713291291081859</v>
      </c>
      <c r="P65">
        <f>STDEV(P$5:P$28)</f>
        <v>29.996168837495503</v>
      </c>
      <c r="R65">
        <f>STDEV(R$5:R$28)</f>
        <v>4.7782550177332253E-2</v>
      </c>
      <c r="S65">
        <f>STDEV(S$5:S$28)</f>
        <v>51.428024841815912</v>
      </c>
      <c r="T65" s="25"/>
    </row>
    <row r="66" spans="2:20">
      <c r="B66" s="4" t="s">
        <v>22</v>
      </c>
      <c r="C66" s="25">
        <f>COUNTIF(C$5:C$28, "&lt;0")</f>
        <v>17</v>
      </c>
      <c r="D66">
        <f>COUNTIF(D$5:D$28, "&lt;0")</f>
        <v>17</v>
      </c>
      <c r="F66">
        <f>COUNTIF(F$5:F$28, "&lt;0")</f>
        <v>15</v>
      </c>
      <c r="G66">
        <f>COUNTIF(G$5:G$28, "&lt;0")</f>
        <v>15</v>
      </c>
      <c r="H66" s="25"/>
      <c r="I66" s="1">
        <f>COUNTIF(I$5:I$28, "&lt;0")</f>
        <v>18</v>
      </c>
      <c r="J66">
        <f>COUNTIF(J$5:J$28, "&lt;0")</f>
        <v>18</v>
      </c>
      <c r="L66">
        <f>COUNTIF(L$5:L$28, "&lt;0")</f>
        <v>17</v>
      </c>
      <c r="M66">
        <f>COUNTIF(M$5:M$28, "&lt;0")</f>
        <v>17</v>
      </c>
      <c r="N66" s="2"/>
      <c r="O66" s="25">
        <f>COUNTIF(O$5:O$28, "&lt;0")</f>
        <v>18</v>
      </c>
      <c r="P66">
        <f>COUNTIF(P$5:P$28, "&lt;0")</f>
        <v>18</v>
      </c>
      <c r="R66">
        <f>COUNTIF(R$5:R$28, "&lt;0")</f>
        <v>17</v>
      </c>
      <c r="S66">
        <f>COUNTIF(S$5:S$28, "&lt;0")</f>
        <v>17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-0.89958333333333351</v>
      </c>
      <c r="D70">
        <f>AVERAGE(D$29:D$52)</f>
        <v>-22.25</v>
      </c>
      <c r="F70">
        <f>AVERAGE(F$29:F$52)</f>
        <v>-1.7166666666666667E-2</v>
      </c>
      <c r="G70">
        <f>AVERAGE(G$29:G$52)</f>
        <v>0.37083333333333357</v>
      </c>
      <c r="H70" s="25"/>
      <c r="I70" s="1">
        <f>AVERAGE(I$29:I$52)</f>
        <v>-0.88708333333333333</v>
      </c>
      <c r="J70">
        <f>AVERAGE(J$29:J$52)</f>
        <v>-18.191666666666666</v>
      </c>
      <c r="L70">
        <f>AVERAGE(L$29:L$52)</f>
        <v>-3.4083333333333334E-2</v>
      </c>
      <c r="M70">
        <f>AVERAGE(M$29:M$52)</f>
        <v>-5.2666666666666666</v>
      </c>
      <c r="N70" s="2"/>
      <c r="O70" s="25">
        <f>AVERAGE(O$29:O$52)</f>
        <v>-0.94541666666666657</v>
      </c>
      <c r="P70">
        <f>AVERAGE(P$29:P$52)</f>
        <v>-25.295833333333338</v>
      </c>
      <c r="R70">
        <f>AVERAGE(R$29:R$52)</f>
        <v>-4.1125000000000002E-2</v>
      </c>
      <c r="S70">
        <f>AVERAGE(S$29:S$52)</f>
        <v>-14.475000000000003</v>
      </c>
      <c r="T70" s="25"/>
    </row>
    <row r="71" spans="2:20">
      <c r="B71" s="4" t="s">
        <v>20</v>
      </c>
      <c r="C71" s="25">
        <f>MEDIAN(C$29:C$52)</f>
        <v>-0.33500000000000002</v>
      </c>
      <c r="D71">
        <f>MEDIAN(D$29:D$52)</f>
        <v>-25.700000000000003</v>
      </c>
      <c r="F71">
        <f>MEDIAN(F$29:F$52)</f>
        <v>-1.2999999999999999E-2</v>
      </c>
      <c r="G71">
        <f>MEDIAN(G$29:G$52)</f>
        <v>-9.65</v>
      </c>
      <c r="H71" s="25"/>
      <c r="I71" s="1">
        <f>MEDIAN(I$29:I$52)</f>
        <v>-0.33500000000000002</v>
      </c>
      <c r="J71">
        <f>MEDIAN(J$29:J$52)</f>
        <v>-23.200000000000003</v>
      </c>
      <c r="L71">
        <f>MEDIAN(L$29:L$52)</f>
        <v>-2.6500000000000003E-2</v>
      </c>
      <c r="M71">
        <f>MEDIAN(M$29:M$52)</f>
        <v>-23.35</v>
      </c>
      <c r="N71" s="2"/>
      <c r="O71" s="25">
        <f>MEDIAN(O$29:O$52)</f>
        <v>-0.48</v>
      </c>
      <c r="P71">
        <f>MEDIAN(P$29:P$52)</f>
        <v>-27.2</v>
      </c>
      <c r="R71">
        <f>MEDIAN(R$29:R$52)</f>
        <v>-3.5500000000000004E-2</v>
      </c>
      <c r="S71">
        <f>MEDIAN(S$29:S$52)</f>
        <v>-24</v>
      </c>
      <c r="T71" s="25"/>
    </row>
    <row r="72" spans="2:20">
      <c r="B72" s="4" t="s">
        <v>21</v>
      </c>
      <c r="C72" s="25">
        <f>STDEV(C$29:C$52)</f>
        <v>1.4751491572827082</v>
      </c>
      <c r="D72">
        <f>STDEV(D$29:D$52)</f>
        <v>24.136531936320999</v>
      </c>
      <c r="F72">
        <f>STDEV(F$29:F$52)</f>
        <v>5.7533103262508732E-2</v>
      </c>
      <c r="G72">
        <f>STDEV(G$29:G$52)</f>
        <v>35.803066168995208</v>
      </c>
      <c r="H72" s="25"/>
      <c r="I72" s="1">
        <f>STDEV(I$29:I$52)</f>
        <v>1.4497000564334639</v>
      </c>
      <c r="J72">
        <f>STDEV(J$29:J$52)</f>
        <v>31.934891871440232</v>
      </c>
      <c r="L72">
        <f>STDEV(L$29:L$52)</f>
        <v>7.4510528387468231E-2</v>
      </c>
      <c r="M72">
        <f>STDEV(M$29:M$52)</f>
        <v>49.197451919406546</v>
      </c>
      <c r="N72" s="2"/>
      <c r="O72" s="25">
        <f>STDEV(O$29:O$52)</f>
        <v>1.367205907225983</v>
      </c>
      <c r="P72">
        <f>STDEV(P$29:P$52)</f>
        <v>23.551340387714038</v>
      </c>
      <c r="R72">
        <f>STDEV(R$29:R$52)</f>
        <v>6.8071134468481467E-2</v>
      </c>
      <c r="S72">
        <f>STDEV(S$29:S$52)</f>
        <v>36.647228378502057</v>
      </c>
      <c r="T72" s="25"/>
    </row>
    <row r="73" spans="2:20">
      <c r="B73" s="4" t="s">
        <v>22</v>
      </c>
      <c r="C73" s="25">
        <f>COUNTIF(C$29:C$52, "&lt;0")</f>
        <v>20</v>
      </c>
      <c r="D73">
        <f>COUNTIF(D$29:D$52, "&lt;0")</f>
        <v>20</v>
      </c>
      <c r="F73">
        <f>COUNTIF(F$29:F$52, "&lt;0")</f>
        <v>16</v>
      </c>
      <c r="G73">
        <f>COUNTIF(G$29:G$52, "&lt;0")</f>
        <v>16</v>
      </c>
      <c r="H73" s="25"/>
      <c r="I73" s="1">
        <f>COUNTIF(I$29:I$52, "&lt;0")</f>
        <v>19</v>
      </c>
      <c r="J73">
        <f>COUNTIF(J$29:J$52, "&lt;0")</f>
        <v>19</v>
      </c>
      <c r="L73">
        <f>COUNTIF(L$29:L$52, "&lt;0")</f>
        <v>17</v>
      </c>
      <c r="M73">
        <f>COUNTIF(M$29:M$52, "&lt;0")</f>
        <v>17</v>
      </c>
      <c r="N73" s="2"/>
      <c r="O73" s="25">
        <f>COUNTIF(O$29:O$52, "&lt;0")</f>
        <v>21</v>
      </c>
      <c r="P73">
        <f>COUNTIF(P$29:P$52, "&lt;0")</f>
        <v>21</v>
      </c>
      <c r="R73">
        <f>COUNTIF(R$29:R$52, "&lt;0")</f>
        <v>18</v>
      </c>
      <c r="S73">
        <f>COUNTIF(S$29:S$52, "&lt;0")</f>
        <v>18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-0.6800694444444445</v>
      </c>
      <c r="D77">
        <f>AVERAGE(D$5:D$52,J$5:J$52,P$5:P$52)</f>
        <v>-15.020138888888887</v>
      </c>
      <c r="F77">
        <f>AVERAGE(F$5:F$52,L$5:L$52,R$5:R$52)</f>
        <v>-2.3270833333333331E-2</v>
      </c>
      <c r="G77">
        <f>AVERAGE(G$5:G$52,M$5:M$52,S$5:S$52)</f>
        <v>-2.3819444444444451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-0.34</v>
      </c>
      <c r="D78">
        <f>MEDIAN(D$5:D$52,J$5:J$52,P$5:P$52)</f>
        <v>-22.1</v>
      </c>
      <c r="F78">
        <f>MEDIAN(F$5:F$52,L$5:L$52,R$5:R$52)</f>
        <v>-0.02</v>
      </c>
      <c r="G78">
        <f>MEDIAN(G$5:G$52,M$5:M$52,S$5:S$52)</f>
        <v>-15.75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1.1672072319928763</v>
      </c>
      <c r="D79">
        <f>STDEV(D$5:D$52,J$5:J$52,P$5:P$52)</f>
        <v>33.862989223360266</v>
      </c>
      <c r="F79">
        <f>STDEV(F$5:F$52,L$5:L$52,R$5:R$52)</f>
        <v>5.7449061505234073E-2</v>
      </c>
      <c r="G79">
        <f>STDEV(G$5:G$52,M$5:M$52,S$5:S$52)</f>
        <v>43.326483208790982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113</v>
      </c>
      <c r="D80">
        <f>COUNTIF(D$5:D$52, "&lt;0")+COUNTIF(J$5:J$52, "&lt;0")+COUNTIF(P$5:P$52, "&lt;0")</f>
        <v>113</v>
      </c>
      <c r="F80">
        <f>COUNTIF(F$5:F$52, "&lt;0")+COUNTIF(L$5:L$52, "&lt;0")+COUNTIF(R$5:R$52, "&lt;0")</f>
        <v>100</v>
      </c>
      <c r="G80">
        <f>COUNTIF(G$5:G$52, "&lt;0")+COUNTIF(M$5:M$52, "&lt;0")+COUNTIF(S$5:S$52, "&lt;0")</f>
        <v>100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0.79131944444444435</v>
      </c>
      <c r="D83" cm="1">
        <f t="array" ref="D83">AVERAGE(ABS(D$5:D$52),ABS(J$5:J$52),ABS(P$5:P$52))</f>
        <v>30.818750000000009</v>
      </c>
      <c r="F83" cm="1">
        <f t="array" ref="F83">AVERAGE(ABS(F$5:F$52),ABS(L$5:L$52),ABS(R$5:R$52))</f>
        <v>4.2479166666666651E-2</v>
      </c>
      <c r="G83" cm="1">
        <f t="array" ref="G83">AVERAGE(ABS(G$5:G$52),ABS(M$5:M$52),ABS(S$5:S$52))</f>
        <v>32.838888888888881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0.38500000000000001</v>
      </c>
      <c r="D84" cm="1">
        <f t="array" ref="D84">MEDIAN(ABS(D$5:D$52),ABS(J$5:J$52),ABS(P$5:P$52))</f>
        <v>27.75</v>
      </c>
      <c r="F84" cm="1">
        <f t="array" ref="F84">MEDIAN(ABS(F$5:F$52),ABS(L$5:L$52),ABS(R$5:R$52))</f>
        <v>3.15E-2</v>
      </c>
      <c r="G84" cm="1">
        <f t="array" ref="G84">MEDIAN(ABS(G$5:G$52),ABS(M$5:M$52),ABS(S$5:S$52))</f>
        <v>26.200000000000003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1.0943198842796193</v>
      </c>
      <c r="D85" cm="1">
        <f t="array" ref="D85">STDEV(ABS(D$5:D$52),ABS(J$5:J$52),ABS(P$5:P$52))</f>
        <v>20.431519489170707</v>
      </c>
      <c r="F85" cm="1">
        <f t="array" ref="F85">STDEV(ABS(F$5:F$52),ABS(L$5:L$52),ABS(R$5:R$52))</f>
        <v>4.5040148174183982E-2</v>
      </c>
      <c r="G85" cm="1">
        <f t="array" ref="G85">STDEV(ABS(G$5:G$52),ABS(M$5:M$52),ABS(S$5:S$52))</f>
        <v>28.230544661831306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-0.44944444444444454</v>
      </c>
      <c r="D89">
        <f>AVERAGE(D$5:D$28,J$5:J$28,P$5:P$28)</f>
        <v>-8.1277777777777764</v>
      </c>
      <c r="F89">
        <f>AVERAGE(F$5:F$28,L$5:L$28,R$5:R$28)</f>
        <v>-1.575E-2</v>
      </c>
      <c r="G89">
        <f>AVERAGE(G$5:G$28,M$5:M$28,S$5:S$28)</f>
        <v>1.6930555555555549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-0.29500000000000004</v>
      </c>
      <c r="D90">
        <f>MEDIAN(D$5:D$28,J$5:J$28,P$5:P$28)</f>
        <v>-17.100000000000001</v>
      </c>
      <c r="F90">
        <f>MEDIAN(F$5:F$28,L$5:L$28,R$5:R$28)</f>
        <v>-0.02</v>
      </c>
      <c r="G90">
        <f>MEDIAN(G$5:G$28,M$5:M$28,S$5:S$28)</f>
        <v>-14.4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0.8025941897932154</v>
      </c>
      <c r="D91">
        <f>STDEV(D$5:D$28,J$5:J$28,P$5:P$28)</f>
        <v>38.805267619128408</v>
      </c>
      <c r="F91">
        <f>STDEV(F$5:F$28,L$5:L$28,R$5:R$28)</f>
        <v>4.5367901415794394E-2</v>
      </c>
      <c r="G91">
        <f>STDEV(G$5:G$28,M$5:M$28,S$5:S$28)</f>
        <v>45.549720013947201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53</v>
      </c>
      <c r="D92">
        <f>COUNTIF(D$5:D$28, "&lt;0")+COUNTIF(J$5:J$28, "&lt;0")+COUNTIF(P$5:P$28, "&lt;0")</f>
        <v>53</v>
      </c>
      <c r="F92">
        <f>COUNTIF(F$5:F$28, "&lt;0")+COUNTIF(L$5:L$28, "&lt;0")+COUNTIF(R$5:R$28, "&lt;0")</f>
        <v>49</v>
      </c>
      <c r="G92">
        <f>COUNTIF(G$5:G$28, "&lt;0")+COUNTIF(M$5:M$28, "&lt;0")+COUNTIF(S$5:S$28, "&lt;0")</f>
        <v>49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0.62361111111111112</v>
      </c>
      <c r="D95" cm="1">
        <f t="array" ref="D95">AVERAGE(ABS(D$5:D$28),ABS(J$5:J$28),ABS(P$5:P$28))</f>
        <v>31.958333333333332</v>
      </c>
      <c r="F95" cm="1">
        <f t="array" ref="F95">AVERAGE(ABS(F$5:F$28),ABS(L$5:L$28),ABS(R$5:R$28))</f>
        <v>3.7055555555555536E-2</v>
      </c>
      <c r="G95" cm="1">
        <f t="array" ref="G95">AVERAGE(ABS(G$5:G$28),ABS(M$5:M$28),ABS(S$5:S$28))</f>
        <v>33.279166666666676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0.41499999999999998</v>
      </c>
      <c r="D96" cm="1">
        <f t="array" ref="D96">MEDIAN(ABS(D$5:D$28),ABS(J$5:J$28),ABS(P$5:P$28))</f>
        <v>27.8</v>
      </c>
      <c r="F96" cm="1">
        <f t="array" ref="F96">MEDIAN(ABS(F$5:F$28),ABS(L$5:L$28),ABS(R$5:R$28))</f>
        <v>0.03</v>
      </c>
      <c r="G96" cm="1">
        <f t="array" ref="G96">MEDIAN(ABS(G$5:G$28),ABS(M$5:M$28),ABS(S$5:S$28))</f>
        <v>26.05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0.67426601837611277</v>
      </c>
      <c r="D97" cm="1">
        <f t="array" ref="D97">STDEV(ABS(D$5:D$28),ABS(J$5:J$28),ABS(P$5:P$28))</f>
        <v>23.175847979684907</v>
      </c>
      <c r="F97" cm="1">
        <f t="array" ref="F97">STDEV(ABS(F$5:F$28),ABS(L$5:L$28),ABS(R$5:R$28))</f>
        <v>3.0287769524770282E-2</v>
      </c>
      <c r="G97" cm="1">
        <f t="array" ref="G97">STDEV(ABS(G$5:G$28),ABS(M$5:M$28),ABS(S$5:S$28))</f>
        <v>30.896314277199661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-0.91069444444444458</v>
      </c>
      <c r="D101">
        <f>AVERAGE(D$29:D$52,J$29:J$52,P$29:P$52)</f>
        <v>-21.912499999999994</v>
      </c>
      <c r="F101">
        <f>AVERAGE(F$29:F$52,L$29:L$52,R$29:R$52)</f>
        <v>-3.0791666666666676E-2</v>
      </c>
      <c r="G101">
        <f>AVERAGE(G$29:G$52,M$29:M$52,S$29:S$52)</f>
        <v>-6.456944444444443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-0.36</v>
      </c>
      <c r="D102">
        <f>MEDIAN(D$29:D$52,J$29:J$52,P$29:P$52)</f>
        <v>-25.75</v>
      </c>
      <c r="F102">
        <f>MEDIAN(F$29:F$52,L$29:L$52,R$29:R$52)</f>
        <v>-0.02</v>
      </c>
      <c r="G102">
        <f>MEDIAN(G$29:G$52,M$29:M$52,S$29:S$52)</f>
        <v>-17.899999999999999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1.4113476991358382</v>
      </c>
      <c r="D103">
        <f>STDEV(D$29:D$52,J$29:J$52,P$29:P$52)</f>
        <v>26.596213526433832</v>
      </c>
      <c r="F103">
        <f>STDEV(F$29:F$52,L$29:L$52,R$29:R$52)</f>
        <v>6.6890269087450605E-2</v>
      </c>
      <c r="G103">
        <f>STDEV(G$29:G$52,M$29:M$52,S$29:S$52)</f>
        <v>40.89439448617911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60</v>
      </c>
      <c r="D104">
        <f>COUNTIF(D$29:D$52, "&lt;0")+COUNTIF(J$29:J$52, "&lt;0")+COUNTIF(P$29:P$52, "&lt;0")</f>
        <v>60</v>
      </c>
      <c r="F104">
        <f>COUNTIF(F$29:F$52, "&lt;0")+COUNTIF(L$29:L$52, "&lt;0")+COUNTIF(R$29:R$52, "&lt;0")</f>
        <v>51</v>
      </c>
      <c r="G104">
        <f>COUNTIF(G$29:G$52, "&lt;0")+COUNTIF(M$29:M$52, "&lt;0")+COUNTIF(S$29:S$52, "&lt;0")</f>
        <v>51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0.95902777777777792</v>
      </c>
      <c r="D107" cm="1">
        <f t="array" ref="D107">AVERAGE(ABS(D$29:D$52),ABS(J$29:J$52),ABS(P$29:P$52))</f>
        <v>29.679166666666656</v>
      </c>
      <c r="F107" cm="1">
        <f t="array" ref="F107">AVERAGE(ABS(F$29:F$52),ABS(L$29:L$52),ABS(R$29:R$52))</f>
        <v>4.7902777777777752E-2</v>
      </c>
      <c r="G107" cm="1">
        <f t="array" ref="G107">AVERAGE(ABS(G$29:G$52),ABS(M$29:M$52),ABS(S$29:S$52))</f>
        <v>32.398611111111116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0.36</v>
      </c>
      <c r="D108" cm="1">
        <f t="array" ref="D108">MEDIAN(ABS(D$29:D$52),ABS(J$29:J$52),ABS(P$29:P$52))</f>
        <v>27.75</v>
      </c>
      <c r="F108" cm="1">
        <f t="array" ref="F108">MEDIAN(ABS(F$29:F$52),ABS(L$29:L$52),ABS(R$29:R$52))</f>
        <v>3.3000000000000002E-2</v>
      </c>
      <c r="G108" cm="1">
        <f t="array" ref="G108">MEDIAN(ABS(G$29:G$52),ABS(M$29:M$52),ABS(S$29:S$52))</f>
        <v>27.700000000000003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1.378499040569608</v>
      </c>
      <c r="D109" cm="1">
        <f t="array" ref="D109">STDEV(ABS(D$29:D$52),ABS(J$29:J$52),ABS(P$29:P$52))</f>
        <v>17.349919328464487</v>
      </c>
      <c r="F109" cm="1">
        <f t="array" ref="F109">STDEV(ABS(F$29:F$52),ABS(L$29:L$52),ABS(R$29:R$52))</f>
        <v>5.5756553261584393E-2</v>
      </c>
      <c r="G109" cm="1">
        <f t="array" ref="G109">STDEV(ABS(G$29:G$52),ABS(M$29:M$52),ABS(S$29:S$52))</f>
        <v>25.498563853817306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003D-EEB8-443F-988F-0D4AC69D5B5A}">
  <dimension ref="A1:T109"/>
  <sheetViews>
    <sheetView workbookViewId="0">
      <selection activeCell="K26" sqref="K26"/>
    </sheetView>
  </sheetViews>
  <sheetFormatPr defaultRowHeight="15"/>
  <cols>
    <col min="1" max="1" width="11.5703125" style="3" bestFit="1" customWidth="1"/>
    <col min="2" max="2" width="9.140625" style="4"/>
    <col min="3" max="3" width="13" bestFit="1" customWidth="1"/>
    <col min="4" max="4" width="15.7109375" bestFit="1" customWidth="1"/>
    <col min="5" max="5" width="8.28515625" bestFit="1" customWidth="1"/>
    <col min="6" max="6" width="13" bestFit="1" customWidth="1"/>
    <col min="7" max="7" width="15.28515625" bestFit="1" customWidth="1"/>
    <col min="8" max="8" width="8.28515625" bestFit="1" customWidth="1"/>
    <col min="9" max="9" width="12.5703125" style="1" bestFit="1" customWidth="1"/>
    <col min="10" max="10" width="15.7109375" bestFit="1" customWidth="1"/>
    <col min="11" max="11" width="8.28515625" bestFit="1" customWidth="1"/>
    <col min="12" max="12" width="8.140625" bestFit="1" customWidth="1"/>
    <col min="13" max="13" width="15.7109375" bestFit="1" customWidth="1"/>
    <col min="14" max="14" width="8.28515625" bestFit="1" customWidth="1"/>
    <col min="15" max="15" width="12.5703125" style="1" bestFit="1" customWidth="1"/>
    <col min="16" max="16" width="15.7109375" bestFit="1" customWidth="1"/>
    <col min="17" max="17" width="8.28515625" bestFit="1" customWidth="1"/>
    <col min="18" max="18" width="12.5703125" bestFit="1" customWidth="1"/>
    <col min="19" max="19" width="15.7109375" bestFit="1" customWidth="1"/>
    <col min="20" max="20" width="8.28515625" style="2" bestFit="1" customWidth="1"/>
  </cols>
  <sheetData>
    <row r="1" spans="1:20" s="3" customFormat="1">
      <c r="B1" s="4"/>
      <c r="C1" s="16" t="s">
        <v>39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0" s="3" customFormat="1">
      <c r="B2" s="4"/>
      <c r="C2" s="16" t="s">
        <v>1</v>
      </c>
      <c r="D2" s="16"/>
      <c r="E2" s="16"/>
      <c r="F2" s="16"/>
      <c r="G2" s="16"/>
      <c r="H2" s="16"/>
      <c r="I2" s="18" t="s">
        <v>2</v>
      </c>
      <c r="J2" s="16"/>
      <c r="K2" s="16"/>
      <c r="L2" s="16"/>
      <c r="M2" s="16"/>
      <c r="N2" s="16"/>
      <c r="O2" s="18" t="s">
        <v>3</v>
      </c>
      <c r="P2" s="16"/>
      <c r="Q2" s="16"/>
      <c r="R2" s="16"/>
      <c r="S2" s="16"/>
      <c r="T2" s="17"/>
    </row>
    <row r="3" spans="1:20" s="3" customFormat="1">
      <c r="B3" s="4"/>
      <c r="C3" s="16" t="s">
        <v>4</v>
      </c>
      <c r="D3" s="16"/>
      <c r="E3" s="16"/>
      <c r="F3" s="16" t="s">
        <v>5</v>
      </c>
      <c r="G3" s="16"/>
      <c r="H3" s="16"/>
      <c r="I3" s="18" t="s">
        <v>4</v>
      </c>
      <c r="J3" s="16"/>
      <c r="K3" s="16"/>
      <c r="L3" s="16" t="s">
        <v>5</v>
      </c>
      <c r="M3" s="16"/>
      <c r="N3" s="16"/>
      <c r="O3" s="18" t="s">
        <v>4</v>
      </c>
      <c r="P3" s="16"/>
      <c r="Q3" s="16"/>
      <c r="R3" s="16" t="s">
        <v>5</v>
      </c>
      <c r="S3" s="16"/>
      <c r="T3" s="17"/>
    </row>
    <row r="4" spans="1:20" s="5" customFormat="1">
      <c r="B4" s="6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7" t="s">
        <v>6</v>
      </c>
      <c r="J4" s="5" t="s">
        <v>7</v>
      </c>
      <c r="K4" s="5" t="s">
        <v>8</v>
      </c>
      <c r="L4" s="5" t="s">
        <v>6</v>
      </c>
      <c r="M4" s="5" t="s">
        <v>7</v>
      </c>
      <c r="N4" s="5" t="s">
        <v>8</v>
      </c>
      <c r="O4" s="7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6" t="s">
        <v>8</v>
      </c>
    </row>
    <row r="5" spans="1:20">
      <c r="A5" s="11" t="s">
        <v>9</v>
      </c>
      <c r="B5" s="12" t="s">
        <v>10</v>
      </c>
      <c r="C5">
        <v>0.13</v>
      </c>
      <c r="D5">
        <v>8.4</v>
      </c>
      <c r="E5" t="str">
        <f>IF(ABS(D5)&gt;50,"?","-")</f>
        <v>-</v>
      </c>
      <c r="F5">
        <v>-1.2999999999999999E-2</v>
      </c>
      <c r="G5">
        <v>-9.1999999999999993</v>
      </c>
      <c r="H5" t="str">
        <f>IF(ABS(G5)&gt;50,"?","-")</f>
        <v>-</v>
      </c>
      <c r="I5" s="1">
        <v>-0.1</v>
      </c>
      <c r="J5">
        <v>-6.1</v>
      </c>
      <c r="K5" t="str">
        <f>IF(ABS(J5)&gt;50,"?","-")</f>
        <v>-</v>
      </c>
      <c r="L5">
        <v>-4.5999999999999999E-2</v>
      </c>
      <c r="M5">
        <v>-30.1</v>
      </c>
      <c r="N5" t="str">
        <f>IF(ABS(M5)&gt;50,"?","-")</f>
        <v>-</v>
      </c>
      <c r="O5" s="1">
        <v>0.01</v>
      </c>
      <c r="P5">
        <v>0.6</v>
      </c>
      <c r="Q5" t="str">
        <f>IF(ABS(P5)&gt;50,"?","-")</f>
        <v>-</v>
      </c>
      <c r="R5">
        <v>-3.6999999999999998E-2</v>
      </c>
      <c r="S5">
        <v>-25.3</v>
      </c>
      <c r="T5" s="2" t="str">
        <f>IF(ABS(S5)&gt;50,"?","-")</f>
        <v>-</v>
      </c>
    </row>
    <row r="6" spans="1:20">
      <c r="A6" s="11" t="s">
        <v>11</v>
      </c>
      <c r="B6" s="12" t="s">
        <v>10</v>
      </c>
      <c r="C6">
        <v>0.04</v>
      </c>
      <c r="D6">
        <v>3</v>
      </c>
      <c r="E6" t="str">
        <f t="shared" ref="E6:E52" si="0">IF(ABS(D6)&gt;50,"?","-")</f>
        <v>-</v>
      </c>
      <c r="F6">
        <v>-2.8000000000000001E-2</v>
      </c>
      <c r="G6">
        <v>-26.9</v>
      </c>
      <c r="H6" t="str">
        <f t="shared" ref="H6:H52" si="1">IF(ABS(G6)&gt;50,"?","-")</f>
        <v>-</v>
      </c>
      <c r="I6" s="1">
        <v>-0.05</v>
      </c>
      <c r="J6">
        <v>-3.7</v>
      </c>
      <c r="K6" t="str">
        <f t="shared" ref="K6:K52" si="2">IF(ABS(J6)&gt;50,"?","-")</f>
        <v>-</v>
      </c>
      <c r="L6">
        <v>-3.5000000000000003E-2</v>
      </c>
      <c r="M6">
        <v>-34.700000000000003</v>
      </c>
      <c r="N6" t="str">
        <f t="shared" ref="N6:N52" si="3">IF(ABS(M6)&gt;50,"?","-")</f>
        <v>-</v>
      </c>
      <c r="O6" s="1">
        <v>-0.04</v>
      </c>
      <c r="P6">
        <v>-2.8</v>
      </c>
      <c r="Q6" t="str">
        <f t="shared" ref="Q6:Q52" si="4">IF(ABS(P6)&gt;50,"?","-")</f>
        <v>-</v>
      </c>
      <c r="R6">
        <v>-3.1E-2</v>
      </c>
      <c r="S6">
        <v>-27.9</v>
      </c>
      <c r="T6" s="2" t="str">
        <f t="shared" ref="T6:T52" si="5">IF(ABS(S6)&gt;50,"?","-")</f>
        <v>-</v>
      </c>
    </row>
    <row r="7" spans="1:20">
      <c r="A7" s="11" t="s">
        <v>12</v>
      </c>
      <c r="B7" s="12" t="s">
        <v>10</v>
      </c>
      <c r="C7">
        <v>-1.46</v>
      </c>
      <c r="D7">
        <v>-30.4</v>
      </c>
      <c r="E7" t="str">
        <f t="shared" si="0"/>
        <v>-</v>
      </c>
      <c r="F7">
        <v>-8.6999999999999994E-2</v>
      </c>
      <c r="G7">
        <v>-28.2</v>
      </c>
      <c r="H7" t="str">
        <f t="shared" si="1"/>
        <v>-</v>
      </c>
      <c r="I7" s="1">
        <v>-1.58</v>
      </c>
      <c r="J7">
        <v>-37.6</v>
      </c>
      <c r="K7" t="str">
        <f t="shared" si="2"/>
        <v>-</v>
      </c>
      <c r="L7">
        <v>-0.13500000000000001</v>
      </c>
      <c r="M7">
        <v>-47.4</v>
      </c>
      <c r="N7" t="str">
        <f t="shared" si="3"/>
        <v>-</v>
      </c>
      <c r="O7" s="1">
        <v>-1.27</v>
      </c>
      <c r="P7">
        <v>-30.7</v>
      </c>
      <c r="Q7" t="str">
        <f t="shared" si="4"/>
        <v>-</v>
      </c>
      <c r="R7">
        <v>-0.13500000000000001</v>
      </c>
      <c r="S7">
        <v>-49.1</v>
      </c>
      <c r="T7" s="2" t="str">
        <f t="shared" si="5"/>
        <v>-</v>
      </c>
    </row>
    <row r="8" spans="1:20">
      <c r="A8" s="11" t="s">
        <v>13</v>
      </c>
      <c r="B8" s="12" t="s">
        <v>10</v>
      </c>
      <c r="C8">
        <v>-0.17</v>
      </c>
      <c r="D8">
        <v>-11.6</v>
      </c>
      <c r="E8" t="str">
        <f t="shared" si="0"/>
        <v>-</v>
      </c>
      <c r="F8">
        <v>2.1000000000000001E-2</v>
      </c>
      <c r="G8">
        <v>15.7</v>
      </c>
      <c r="H8" t="str">
        <f t="shared" si="1"/>
        <v>-</v>
      </c>
      <c r="I8" s="1">
        <v>0.45</v>
      </c>
      <c r="J8">
        <v>39.799999999999997</v>
      </c>
      <c r="K8" t="str">
        <f t="shared" si="2"/>
        <v>-</v>
      </c>
      <c r="L8">
        <v>3.4000000000000002E-2</v>
      </c>
      <c r="M8">
        <v>28.3</v>
      </c>
      <c r="N8" t="str">
        <f t="shared" si="3"/>
        <v>-</v>
      </c>
      <c r="O8" s="1">
        <v>-0.01</v>
      </c>
      <c r="P8">
        <v>-0.7</v>
      </c>
      <c r="Q8" t="str">
        <f t="shared" si="4"/>
        <v>-</v>
      </c>
      <c r="R8">
        <v>-6.0999999999999999E-2</v>
      </c>
      <c r="S8">
        <v>-40.9</v>
      </c>
      <c r="T8" s="2" t="str">
        <f t="shared" si="5"/>
        <v>-</v>
      </c>
    </row>
    <row r="9" spans="1:20">
      <c r="A9" s="11" t="s">
        <v>9</v>
      </c>
      <c r="B9" s="12" t="s">
        <v>14</v>
      </c>
      <c r="C9">
        <v>-0.1</v>
      </c>
      <c r="D9">
        <v>-6.9</v>
      </c>
      <c r="E9" t="str">
        <f t="shared" si="0"/>
        <v>-</v>
      </c>
      <c r="F9">
        <v>-6.0000000000000001E-3</v>
      </c>
      <c r="G9">
        <v>-5</v>
      </c>
      <c r="H9" t="str">
        <f t="shared" si="1"/>
        <v>-</v>
      </c>
      <c r="I9" s="1">
        <v>-0.14000000000000001</v>
      </c>
      <c r="J9">
        <v>-10.1</v>
      </c>
      <c r="K9" t="str">
        <f t="shared" si="2"/>
        <v>-</v>
      </c>
      <c r="L9">
        <v>-6.0000000000000001E-3</v>
      </c>
      <c r="M9">
        <v>-5.2</v>
      </c>
      <c r="N9" t="str">
        <f t="shared" si="3"/>
        <v>-</v>
      </c>
      <c r="O9" s="1">
        <v>-0.25</v>
      </c>
      <c r="P9">
        <v>-18.2</v>
      </c>
      <c r="Q9" t="str">
        <f t="shared" si="4"/>
        <v>-</v>
      </c>
      <c r="R9">
        <v>-1.7999999999999999E-2</v>
      </c>
      <c r="S9">
        <v>-15.8</v>
      </c>
      <c r="T9" s="2" t="str">
        <f t="shared" si="5"/>
        <v>-</v>
      </c>
    </row>
    <row r="10" spans="1:20">
      <c r="A10" s="11" t="s">
        <v>11</v>
      </c>
      <c r="B10" s="12" t="s">
        <v>14</v>
      </c>
      <c r="C10">
        <v>-0.23</v>
      </c>
      <c r="D10">
        <v>-17.8</v>
      </c>
      <c r="E10" t="str">
        <f t="shared" si="0"/>
        <v>-</v>
      </c>
      <c r="F10">
        <v>-8.0000000000000002E-3</v>
      </c>
      <c r="G10">
        <v>-8.3000000000000007</v>
      </c>
      <c r="H10" t="str">
        <f t="shared" si="1"/>
        <v>-</v>
      </c>
      <c r="I10" s="1">
        <v>-0.2</v>
      </c>
      <c r="J10">
        <v>-16.899999999999999</v>
      </c>
      <c r="K10" t="str">
        <f t="shared" si="2"/>
        <v>-</v>
      </c>
      <c r="L10">
        <v>-4.2999999999999997E-2</v>
      </c>
      <c r="M10">
        <v>-40.6</v>
      </c>
      <c r="N10" t="str">
        <f t="shared" si="3"/>
        <v>-</v>
      </c>
      <c r="O10" s="1">
        <v>-0.27</v>
      </c>
      <c r="P10">
        <v>-21.1</v>
      </c>
      <c r="Q10" t="str">
        <f t="shared" si="4"/>
        <v>-</v>
      </c>
      <c r="R10">
        <v>-2.5999999999999999E-2</v>
      </c>
      <c r="S10">
        <v>-25.2</v>
      </c>
      <c r="T10" s="2" t="str">
        <f t="shared" si="5"/>
        <v>-</v>
      </c>
    </row>
    <row r="11" spans="1:20">
      <c r="A11" s="11" t="s">
        <v>12</v>
      </c>
      <c r="B11" s="12" t="s">
        <v>14</v>
      </c>
      <c r="C11">
        <v>0.45</v>
      </c>
      <c r="D11">
        <v>14.7</v>
      </c>
      <c r="E11" t="str">
        <f t="shared" si="0"/>
        <v>-</v>
      </c>
      <c r="F11">
        <v>-1.2E-2</v>
      </c>
      <c r="G11">
        <v>-5.0999999999999996</v>
      </c>
      <c r="H11" t="str">
        <f t="shared" si="1"/>
        <v>-</v>
      </c>
      <c r="I11" s="1">
        <v>-0.67</v>
      </c>
      <c r="J11">
        <v>-17.600000000000001</v>
      </c>
      <c r="K11" t="str">
        <f t="shared" si="2"/>
        <v>-</v>
      </c>
      <c r="L11">
        <v>-7.5999999999999998E-2</v>
      </c>
      <c r="M11">
        <v>-32.200000000000003</v>
      </c>
      <c r="N11" t="str">
        <f t="shared" si="3"/>
        <v>-</v>
      </c>
      <c r="O11" s="1">
        <v>-0.62</v>
      </c>
      <c r="P11">
        <v>-16.7</v>
      </c>
      <c r="Q11" t="str">
        <f t="shared" si="4"/>
        <v>-</v>
      </c>
      <c r="R11">
        <v>-7.8E-2</v>
      </c>
      <c r="S11">
        <v>-32.799999999999997</v>
      </c>
      <c r="T11" s="2" t="str">
        <f t="shared" si="5"/>
        <v>-</v>
      </c>
    </row>
    <row r="12" spans="1:20">
      <c r="A12" s="11" t="s">
        <v>13</v>
      </c>
      <c r="B12" s="12" t="s">
        <v>14</v>
      </c>
      <c r="C12">
        <v>-0.16</v>
      </c>
      <c r="D12">
        <v>-14.7</v>
      </c>
      <c r="E12" t="str">
        <f t="shared" si="0"/>
        <v>-</v>
      </c>
      <c r="F12">
        <v>-1.0999999999999999E-2</v>
      </c>
      <c r="G12">
        <v>-11</v>
      </c>
      <c r="H12" t="str">
        <f t="shared" si="1"/>
        <v>-</v>
      </c>
      <c r="I12" s="1">
        <v>0.33</v>
      </c>
      <c r="J12">
        <v>44.6</v>
      </c>
      <c r="K12" t="str">
        <f t="shared" si="2"/>
        <v>-</v>
      </c>
      <c r="L12">
        <v>3.5999999999999997E-2</v>
      </c>
      <c r="M12">
        <v>38.700000000000003</v>
      </c>
      <c r="N12" t="str">
        <f t="shared" si="3"/>
        <v>-</v>
      </c>
      <c r="O12" s="1">
        <v>-0.17</v>
      </c>
      <c r="P12">
        <v>-16</v>
      </c>
      <c r="Q12" t="str">
        <f t="shared" si="4"/>
        <v>-</v>
      </c>
      <c r="R12">
        <v>-7.0000000000000001E-3</v>
      </c>
      <c r="S12">
        <v>-7.4</v>
      </c>
      <c r="T12" s="2" t="str">
        <f t="shared" si="5"/>
        <v>-</v>
      </c>
    </row>
    <row r="13" spans="1:20">
      <c r="A13" s="11" t="s">
        <v>9</v>
      </c>
      <c r="B13" s="12" t="s">
        <v>15</v>
      </c>
      <c r="C13">
        <v>-0.22</v>
      </c>
      <c r="D13">
        <v>-15.9</v>
      </c>
      <c r="E13" t="str">
        <f t="shared" si="0"/>
        <v>-</v>
      </c>
      <c r="F13">
        <v>-2.5000000000000001E-2</v>
      </c>
      <c r="G13">
        <v>-17.7</v>
      </c>
      <c r="H13" t="str">
        <f t="shared" si="1"/>
        <v>-</v>
      </c>
      <c r="I13" s="1">
        <v>-0.22</v>
      </c>
      <c r="J13">
        <v>-16.7</v>
      </c>
      <c r="K13" t="str">
        <f t="shared" si="2"/>
        <v>-</v>
      </c>
      <c r="L13">
        <v>-2.5999999999999999E-2</v>
      </c>
      <c r="M13">
        <v>-20.5</v>
      </c>
      <c r="N13" t="str">
        <f t="shared" si="3"/>
        <v>-</v>
      </c>
      <c r="O13" s="1">
        <v>-0.14000000000000001</v>
      </c>
      <c r="P13">
        <v>-11.2</v>
      </c>
      <c r="Q13" t="str">
        <f t="shared" si="4"/>
        <v>-</v>
      </c>
      <c r="R13">
        <v>-2.4E-2</v>
      </c>
      <c r="S13">
        <v>-19.7</v>
      </c>
      <c r="T13" s="2" t="str">
        <f t="shared" si="5"/>
        <v>-</v>
      </c>
    </row>
    <row r="14" spans="1:20">
      <c r="A14" s="11" t="s">
        <v>11</v>
      </c>
      <c r="B14" s="12" t="s">
        <v>15</v>
      </c>
      <c r="C14">
        <v>-0.15</v>
      </c>
      <c r="D14">
        <v>-12.5</v>
      </c>
      <c r="E14" t="str">
        <f t="shared" si="0"/>
        <v>-</v>
      </c>
      <c r="F14">
        <v>-1.9E-2</v>
      </c>
      <c r="G14">
        <v>-19.600000000000001</v>
      </c>
      <c r="H14" t="str">
        <f t="shared" si="1"/>
        <v>-</v>
      </c>
      <c r="I14" s="1">
        <v>-0.12</v>
      </c>
      <c r="J14">
        <v>-11.5</v>
      </c>
      <c r="K14" t="str">
        <f t="shared" si="2"/>
        <v>-</v>
      </c>
      <c r="L14">
        <v>-5.0000000000000001E-3</v>
      </c>
      <c r="M14">
        <v>-6.2</v>
      </c>
      <c r="N14" t="str">
        <f t="shared" si="3"/>
        <v>-</v>
      </c>
      <c r="O14" s="1">
        <v>-0.21</v>
      </c>
      <c r="P14">
        <v>-17.600000000000001</v>
      </c>
      <c r="Q14" t="str">
        <f t="shared" si="4"/>
        <v>-</v>
      </c>
      <c r="R14">
        <v>-1.7000000000000001E-2</v>
      </c>
      <c r="S14">
        <v>-17.5</v>
      </c>
      <c r="T14" s="2" t="str">
        <f t="shared" si="5"/>
        <v>-</v>
      </c>
    </row>
    <row r="15" spans="1:20">
      <c r="A15" s="11" t="s">
        <v>12</v>
      </c>
      <c r="B15" s="12" t="s">
        <v>15</v>
      </c>
      <c r="C15">
        <v>0</v>
      </c>
      <c r="D15">
        <v>0</v>
      </c>
      <c r="E15" t="str">
        <f t="shared" si="0"/>
        <v>-</v>
      </c>
      <c r="F15">
        <v>-2.5000000000000001E-2</v>
      </c>
      <c r="G15">
        <v>-10.199999999999999</v>
      </c>
      <c r="H15" t="str">
        <f t="shared" si="1"/>
        <v>-</v>
      </c>
      <c r="I15" s="1">
        <v>0.15</v>
      </c>
      <c r="J15">
        <v>5.2</v>
      </c>
      <c r="K15" t="str">
        <f t="shared" si="2"/>
        <v>-</v>
      </c>
      <c r="L15">
        <v>-4.8000000000000001E-2</v>
      </c>
      <c r="M15">
        <v>-23</v>
      </c>
      <c r="N15" t="str">
        <f t="shared" si="3"/>
        <v>-</v>
      </c>
      <c r="O15" s="1">
        <v>-0.01</v>
      </c>
      <c r="P15">
        <v>-0.4</v>
      </c>
      <c r="Q15" t="str">
        <f t="shared" si="4"/>
        <v>-</v>
      </c>
      <c r="R15">
        <v>-5.2999999999999999E-2</v>
      </c>
      <c r="S15">
        <v>-25.6</v>
      </c>
      <c r="T15" s="2" t="str">
        <f t="shared" si="5"/>
        <v>-</v>
      </c>
    </row>
    <row r="16" spans="1:20">
      <c r="A16" s="11" t="s">
        <v>13</v>
      </c>
      <c r="B16" s="12" t="s">
        <v>15</v>
      </c>
      <c r="C16">
        <v>0.27</v>
      </c>
      <c r="D16">
        <v>32.5</v>
      </c>
      <c r="E16" t="str">
        <f t="shared" si="0"/>
        <v>-</v>
      </c>
      <c r="F16">
        <v>-3.0000000000000001E-3</v>
      </c>
      <c r="G16">
        <v>-2.6</v>
      </c>
      <c r="H16" t="str">
        <f t="shared" si="1"/>
        <v>-</v>
      </c>
      <c r="I16" s="1">
        <v>0.28000000000000003</v>
      </c>
      <c r="J16">
        <v>35.4</v>
      </c>
      <c r="K16" t="str">
        <f t="shared" si="2"/>
        <v>-</v>
      </c>
      <c r="L16">
        <v>-1.2999999999999999E-2</v>
      </c>
      <c r="M16">
        <v>-11.3</v>
      </c>
      <c r="N16" t="str">
        <f t="shared" si="3"/>
        <v>-</v>
      </c>
      <c r="O16" s="1">
        <v>0.27</v>
      </c>
      <c r="P16">
        <v>35.1</v>
      </c>
      <c r="Q16" t="str">
        <f t="shared" si="4"/>
        <v>-</v>
      </c>
      <c r="R16">
        <v>6.5000000000000002E-2</v>
      </c>
      <c r="S16">
        <v>84.4</v>
      </c>
      <c r="T16" s="2" t="str">
        <f t="shared" si="5"/>
        <v>?</v>
      </c>
    </row>
    <row r="17" spans="1:20">
      <c r="A17" s="11" t="s">
        <v>9</v>
      </c>
      <c r="B17" s="12" t="s">
        <v>16</v>
      </c>
      <c r="C17">
        <v>-0.03</v>
      </c>
      <c r="D17">
        <v>-2.4</v>
      </c>
      <c r="E17" t="str">
        <f t="shared" si="0"/>
        <v>-</v>
      </c>
      <c r="F17">
        <v>-2.9000000000000001E-2</v>
      </c>
      <c r="G17">
        <v>-21.8</v>
      </c>
      <c r="H17" t="str">
        <f t="shared" si="1"/>
        <v>-</v>
      </c>
      <c r="I17" s="1">
        <v>-0.03</v>
      </c>
      <c r="J17">
        <v>-2.7</v>
      </c>
      <c r="K17" t="str">
        <f t="shared" si="2"/>
        <v>-</v>
      </c>
      <c r="L17">
        <v>-2.7E-2</v>
      </c>
      <c r="M17">
        <v>-23.7</v>
      </c>
      <c r="N17" t="str">
        <f t="shared" si="3"/>
        <v>-</v>
      </c>
      <c r="O17" s="1">
        <v>-7.0000000000000007E-2</v>
      </c>
      <c r="P17">
        <v>-6.2</v>
      </c>
      <c r="Q17" t="str">
        <f t="shared" si="4"/>
        <v>-</v>
      </c>
      <c r="R17">
        <v>-2.4E-2</v>
      </c>
      <c r="S17">
        <v>-20.9</v>
      </c>
      <c r="T17" s="2" t="str">
        <f t="shared" si="5"/>
        <v>-</v>
      </c>
    </row>
    <row r="18" spans="1:20">
      <c r="A18" s="11" t="s">
        <v>11</v>
      </c>
      <c r="B18" s="12" t="s">
        <v>16</v>
      </c>
      <c r="C18">
        <v>-0.1</v>
      </c>
      <c r="D18">
        <v>-9.3000000000000007</v>
      </c>
      <c r="E18" t="str">
        <f t="shared" si="0"/>
        <v>-</v>
      </c>
      <c r="F18">
        <v>-1E-3</v>
      </c>
      <c r="G18">
        <v>-1.1000000000000001</v>
      </c>
      <c r="H18" t="str">
        <f t="shared" si="1"/>
        <v>-</v>
      </c>
      <c r="I18" s="1">
        <v>0</v>
      </c>
      <c r="J18">
        <v>0</v>
      </c>
      <c r="K18" t="str">
        <f t="shared" si="2"/>
        <v>-</v>
      </c>
      <c r="L18">
        <v>1.4E-2</v>
      </c>
      <c r="M18">
        <v>19.7</v>
      </c>
      <c r="N18" t="str">
        <f t="shared" si="3"/>
        <v>-</v>
      </c>
      <c r="O18" s="1">
        <v>0.01</v>
      </c>
      <c r="P18">
        <v>1.1000000000000001</v>
      </c>
      <c r="Q18" t="str">
        <f t="shared" si="4"/>
        <v>-</v>
      </c>
      <c r="R18">
        <v>8.9999999999999993E-3</v>
      </c>
      <c r="S18">
        <v>12.9</v>
      </c>
      <c r="T18" s="2" t="str">
        <f t="shared" si="5"/>
        <v>-</v>
      </c>
    </row>
    <row r="19" spans="1:20">
      <c r="A19" s="11" t="s">
        <v>12</v>
      </c>
      <c r="B19" s="12" t="s">
        <v>16</v>
      </c>
      <c r="C19">
        <v>0.76</v>
      </c>
      <c r="D19">
        <v>27.2</v>
      </c>
      <c r="E19" t="str">
        <f t="shared" si="0"/>
        <v>-</v>
      </c>
      <c r="F19">
        <v>2.9000000000000001E-2</v>
      </c>
      <c r="G19">
        <v>15.3</v>
      </c>
      <c r="H19" t="str">
        <f t="shared" si="1"/>
        <v>-</v>
      </c>
      <c r="I19" s="1">
        <v>-0.16</v>
      </c>
      <c r="J19">
        <v>-5.8</v>
      </c>
      <c r="K19" t="str">
        <f t="shared" si="2"/>
        <v>-</v>
      </c>
      <c r="L19">
        <v>-1.0999999999999999E-2</v>
      </c>
      <c r="M19">
        <v>-6.8</v>
      </c>
      <c r="N19" t="str">
        <f t="shared" si="3"/>
        <v>-</v>
      </c>
      <c r="O19" s="1">
        <v>0.37</v>
      </c>
      <c r="P19">
        <v>15.1</v>
      </c>
      <c r="Q19" t="str">
        <f t="shared" si="4"/>
        <v>-</v>
      </c>
      <c r="R19">
        <v>-8.9999999999999993E-3</v>
      </c>
      <c r="S19">
        <v>-5.5</v>
      </c>
      <c r="T19" s="2" t="str">
        <f t="shared" si="5"/>
        <v>-</v>
      </c>
    </row>
    <row r="20" spans="1:20">
      <c r="A20" s="11" t="s">
        <v>13</v>
      </c>
      <c r="B20" s="12" t="s">
        <v>16</v>
      </c>
      <c r="C20">
        <v>-0.11</v>
      </c>
      <c r="D20">
        <v>-15.9</v>
      </c>
      <c r="E20" t="str">
        <f t="shared" si="0"/>
        <v>-</v>
      </c>
      <c r="F20">
        <v>-1.2999999999999999E-2</v>
      </c>
      <c r="G20">
        <v>-15.5</v>
      </c>
      <c r="H20" t="str">
        <f t="shared" si="1"/>
        <v>-</v>
      </c>
      <c r="I20" s="1">
        <v>0.18</v>
      </c>
      <c r="J20">
        <v>26.1</v>
      </c>
      <c r="K20" t="str">
        <f t="shared" si="2"/>
        <v>-</v>
      </c>
      <c r="L20">
        <v>1.9E-2</v>
      </c>
      <c r="M20">
        <v>20</v>
      </c>
      <c r="N20" t="str">
        <f t="shared" si="3"/>
        <v>-</v>
      </c>
      <c r="O20" s="1">
        <v>-0.16</v>
      </c>
      <c r="P20">
        <v>-22.5</v>
      </c>
      <c r="Q20" t="str">
        <f t="shared" si="4"/>
        <v>-</v>
      </c>
      <c r="R20">
        <v>-4.1000000000000002E-2</v>
      </c>
      <c r="S20">
        <v>-42.3</v>
      </c>
      <c r="T20" s="2" t="str">
        <f t="shared" si="5"/>
        <v>-</v>
      </c>
    </row>
    <row r="21" spans="1:20">
      <c r="A21" s="11" t="s">
        <v>9</v>
      </c>
      <c r="B21" s="12" t="s">
        <v>17</v>
      </c>
      <c r="C21">
        <v>0.1</v>
      </c>
      <c r="D21">
        <v>8.6999999999999993</v>
      </c>
      <c r="E21" t="str">
        <f t="shared" si="0"/>
        <v>-</v>
      </c>
      <c r="F21">
        <v>-6.0000000000000001E-3</v>
      </c>
      <c r="G21">
        <v>-5.4</v>
      </c>
      <c r="H21" t="str">
        <f t="shared" si="1"/>
        <v>-</v>
      </c>
      <c r="I21" s="1">
        <v>0.06</v>
      </c>
      <c r="J21">
        <v>5.8</v>
      </c>
      <c r="K21" t="str">
        <f t="shared" si="2"/>
        <v>-</v>
      </c>
      <c r="L21">
        <v>1E-3</v>
      </c>
      <c r="M21">
        <v>1.1000000000000001</v>
      </c>
      <c r="N21" t="str">
        <f t="shared" si="3"/>
        <v>-</v>
      </c>
      <c r="O21" s="1">
        <v>0.03</v>
      </c>
      <c r="P21">
        <v>2.8</v>
      </c>
      <c r="Q21" t="str">
        <f t="shared" si="4"/>
        <v>-</v>
      </c>
      <c r="R21">
        <v>-4.0000000000000001E-3</v>
      </c>
      <c r="S21">
        <v>-4.2</v>
      </c>
      <c r="T21" s="2" t="str">
        <f t="shared" si="5"/>
        <v>-</v>
      </c>
    </row>
    <row r="22" spans="1:20">
      <c r="A22" s="11" t="s">
        <v>11</v>
      </c>
      <c r="B22" s="12" t="s">
        <v>17</v>
      </c>
      <c r="C22">
        <v>-0.02</v>
      </c>
      <c r="D22">
        <v>-2</v>
      </c>
      <c r="E22" t="str">
        <f t="shared" si="0"/>
        <v>-</v>
      </c>
      <c r="F22">
        <v>-2.9000000000000001E-2</v>
      </c>
      <c r="G22">
        <v>-26.9</v>
      </c>
      <c r="H22" t="str">
        <f t="shared" si="1"/>
        <v>-</v>
      </c>
      <c r="I22" s="1">
        <v>-0.11</v>
      </c>
      <c r="J22">
        <v>-10.8</v>
      </c>
      <c r="K22" t="str">
        <f t="shared" si="2"/>
        <v>-</v>
      </c>
      <c r="L22">
        <v>-3.0000000000000001E-3</v>
      </c>
      <c r="M22">
        <v>-3.6</v>
      </c>
      <c r="N22" t="str">
        <f t="shared" si="3"/>
        <v>-</v>
      </c>
      <c r="O22" s="1">
        <v>-0.11</v>
      </c>
      <c r="P22">
        <v>-10.8</v>
      </c>
      <c r="Q22" t="str">
        <f t="shared" si="4"/>
        <v>-</v>
      </c>
      <c r="R22">
        <v>-2.5000000000000001E-2</v>
      </c>
      <c r="S22">
        <v>-23.8</v>
      </c>
      <c r="T22" s="2" t="str">
        <f t="shared" si="5"/>
        <v>-</v>
      </c>
    </row>
    <row r="23" spans="1:20">
      <c r="A23" s="11" t="s">
        <v>12</v>
      </c>
      <c r="B23" s="12" t="s">
        <v>17</v>
      </c>
      <c r="C23">
        <v>0.17</v>
      </c>
      <c r="D23">
        <v>5</v>
      </c>
      <c r="E23" t="str">
        <f t="shared" si="0"/>
        <v>-</v>
      </c>
      <c r="F23">
        <v>1.2E-2</v>
      </c>
      <c r="G23">
        <v>5.8</v>
      </c>
      <c r="H23" t="str">
        <f t="shared" si="1"/>
        <v>-</v>
      </c>
      <c r="I23" s="1">
        <v>0.28000000000000003</v>
      </c>
      <c r="J23">
        <v>9.6</v>
      </c>
      <c r="K23" t="str">
        <f t="shared" si="2"/>
        <v>-</v>
      </c>
      <c r="L23">
        <v>-1.9E-2</v>
      </c>
      <c r="M23">
        <v>-10.3</v>
      </c>
      <c r="N23" t="str">
        <f t="shared" si="3"/>
        <v>-</v>
      </c>
      <c r="O23" s="1">
        <v>0.05</v>
      </c>
      <c r="P23">
        <v>1.7</v>
      </c>
      <c r="Q23" t="str">
        <f t="shared" si="4"/>
        <v>-</v>
      </c>
      <c r="R23">
        <v>-2.1000000000000001E-2</v>
      </c>
      <c r="S23">
        <v>-11.2</v>
      </c>
      <c r="T23" s="2" t="str">
        <f t="shared" si="5"/>
        <v>-</v>
      </c>
    </row>
    <row r="24" spans="1:20">
      <c r="A24" s="11" t="s">
        <v>13</v>
      </c>
      <c r="B24" s="12" t="s">
        <v>17</v>
      </c>
      <c r="C24">
        <v>0.15</v>
      </c>
      <c r="D24">
        <v>22.1</v>
      </c>
      <c r="E24" t="str">
        <f t="shared" si="0"/>
        <v>-</v>
      </c>
      <c r="F24">
        <v>2.1999999999999999E-2</v>
      </c>
      <c r="G24">
        <v>33.299999999999997</v>
      </c>
      <c r="H24" t="str">
        <f t="shared" si="1"/>
        <v>-</v>
      </c>
      <c r="I24" s="1">
        <v>0.04</v>
      </c>
      <c r="J24">
        <v>5.3</v>
      </c>
      <c r="K24" t="str">
        <f t="shared" si="2"/>
        <v>-</v>
      </c>
      <c r="L24">
        <v>-1.7999999999999999E-2</v>
      </c>
      <c r="M24">
        <v>-18.2</v>
      </c>
      <c r="N24" t="str">
        <f t="shared" si="3"/>
        <v>-</v>
      </c>
      <c r="O24" s="1">
        <v>0.19</v>
      </c>
      <c r="P24">
        <v>28.8</v>
      </c>
      <c r="Q24" t="str">
        <f t="shared" si="4"/>
        <v>-</v>
      </c>
      <c r="R24">
        <v>5.0000000000000001E-3</v>
      </c>
      <c r="S24">
        <v>6.2</v>
      </c>
      <c r="T24" s="2" t="str">
        <f t="shared" si="5"/>
        <v>-</v>
      </c>
    </row>
    <row r="25" spans="1:20">
      <c r="A25" s="11" t="s">
        <v>9</v>
      </c>
      <c r="B25" s="12" t="s">
        <v>18</v>
      </c>
      <c r="C25">
        <v>-0.41</v>
      </c>
      <c r="D25">
        <v>-23</v>
      </c>
      <c r="E25" t="str">
        <f t="shared" si="0"/>
        <v>-</v>
      </c>
      <c r="F25">
        <v>-7.0000000000000001E-3</v>
      </c>
      <c r="G25">
        <v>-5.3</v>
      </c>
      <c r="H25" t="str">
        <f t="shared" si="1"/>
        <v>-</v>
      </c>
      <c r="I25" s="1">
        <v>-0.28000000000000003</v>
      </c>
      <c r="J25">
        <v>-18.5</v>
      </c>
      <c r="K25" t="str">
        <f t="shared" si="2"/>
        <v>-</v>
      </c>
      <c r="L25">
        <v>-7.0000000000000001E-3</v>
      </c>
      <c r="M25">
        <v>-6.1</v>
      </c>
      <c r="N25" t="str">
        <f t="shared" si="3"/>
        <v>-</v>
      </c>
      <c r="O25" s="1">
        <v>-0.59</v>
      </c>
      <c r="P25">
        <v>-35.1</v>
      </c>
      <c r="Q25" t="str">
        <f t="shared" si="4"/>
        <v>-</v>
      </c>
      <c r="R25">
        <v>-2.1000000000000001E-2</v>
      </c>
      <c r="S25">
        <v>-18.8</v>
      </c>
      <c r="T25" s="2" t="str">
        <f t="shared" si="5"/>
        <v>-</v>
      </c>
    </row>
    <row r="26" spans="1:20">
      <c r="A26" s="11" t="s">
        <v>11</v>
      </c>
      <c r="B26" s="12" t="s">
        <v>18</v>
      </c>
      <c r="C26">
        <v>-0.01</v>
      </c>
      <c r="D26">
        <v>-0.7</v>
      </c>
      <c r="E26" t="str">
        <f t="shared" si="0"/>
        <v>-</v>
      </c>
      <c r="F26">
        <v>8.9999999999999993E-3</v>
      </c>
      <c r="G26">
        <v>7.8</v>
      </c>
      <c r="H26" t="str">
        <f t="shared" si="1"/>
        <v>-</v>
      </c>
      <c r="I26" s="1">
        <v>0.03</v>
      </c>
      <c r="J26">
        <v>2.4</v>
      </c>
      <c r="K26" t="str">
        <f t="shared" si="2"/>
        <v>-</v>
      </c>
      <c r="L26">
        <v>5.0000000000000001E-3</v>
      </c>
      <c r="M26">
        <v>4.5999999999999996</v>
      </c>
      <c r="N26" t="str">
        <f t="shared" si="3"/>
        <v>-</v>
      </c>
      <c r="O26" s="1">
        <v>0.14000000000000001</v>
      </c>
      <c r="P26">
        <v>11.5</v>
      </c>
      <c r="Q26" t="str">
        <f t="shared" si="4"/>
        <v>-</v>
      </c>
      <c r="R26">
        <v>0.02</v>
      </c>
      <c r="S26">
        <v>19.399999999999999</v>
      </c>
      <c r="T26" s="2" t="str">
        <f t="shared" si="5"/>
        <v>-</v>
      </c>
    </row>
    <row r="27" spans="1:20">
      <c r="A27" s="11" t="s">
        <v>12</v>
      </c>
      <c r="B27" s="12" t="s">
        <v>18</v>
      </c>
      <c r="C27">
        <v>1.21</v>
      </c>
      <c r="D27">
        <v>42.8</v>
      </c>
      <c r="E27" t="str">
        <f t="shared" si="0"/>
        <v>-</v>
      </c>
      <c r="F27">
        <v>6.9000000000000006E-2</v>
      </c>
      <c r="G27">
        <v>45.7</v>
      </c>
      <c r="H27" t="str">
        <f t="shared" si="1"/>
        <v>-</v>
      </c>
      <c r="I27" s="1">
        <v>-0.83</v>
      </c>
      <c r="J27">
        <v>-23.4</v>
      </c>
      <c r="K27" t="str">
        <f t="shared" si="2"/>
        <v>-</v>
      </c>
      <c r="L27">
        <v>-8.9999999999999993E-3</v>
      </c>
      <c r="M27">
        <v>-5.8</v>
      </c>
      <c r="N27" t="str">
        <f t="shared" si="3"/>
        <v>-</v>
      </c>
      <c r="O27" s="1">
        <v>-0.52</v>
      </c>
      <c r="P27">
        <v>-14.6</v>
      </c>
      <c r="Q27" t="str">
        <f t="shared" si="4"/>
        <v>-</v>
      </c>
      <c r="R27">
        <v>1.6E-2</v>
      </c>
      <c r="S27">
        <v>11.4</v>
      </c>
      <c r="T27" s="2" t="str">
        <f t="shared" si="5"/>
        <v>-</v>
      </c>
    </row>
    <row r="28" spans="1:20">
      <c r="A28" s="11" t="s">
        <v>13</v>
      </c>
      <c r="B28" s="12" t="s">
        <v>18</v>
      </c>
      <c r="C28">
        <v>0.22</v>
      </c>
      <c r="D28">
        <v>34.4</v>
      </c>
      <c r="E28" t="str">
        <f t="shared" si="0"/>
        <v>-</v>
      </c>
      <c r="F28">
        <v>2.1999999999999999E-2</v>
      </c>
      <c r="G28">
        <v>34.9</v>
      </c>
      <c r="H28" t="str">
        <f t="shared" si="1"/>
        <v>-</v>
      </c>
      <c r="I28" s="1">
        <v>0.08</v>
      </c>
      <c r="J28">
        <v>11.3</v>
      </c>
      <c r="K28" t="str">
        <f t="shared" si="2"/>
        <v>-</v>
      </c>
      <c r="L28">
        <v>4.0000000000000001E-3</v>
      </c>
      <c r="M28">
        <v>5.3</v>
      </c>
      <c r="N28" t="str">
        <f t="shared" si="3"/>
        <v>-</v>
      </c>
      <c r="O28" s="1">
        <v>0.13</v>
      </c>
      <c r="P28">
        <v>17.3</v>
      </c>
      <c r="Q28" t="str">
        <f t="shared" si="4"/>
        <v>-</v>
      </c>
      <c r="R28">
        <v>-2.1000000000000001E-2</v>
      </c>
      <c r="S28">
        <v>-23.3</v>
      </c>
      <c r="T28" s="2" t="str">
        <f t="shared" si="5"/>
        <v>-</v>
      </c>
    </row>
    <row r="29" spans="1:20">
      <c r="A29" s="11" t="s">
        <v>9</v>
      </c>
      <c r="B29" s="13">
        <v>0.4</v>
      </c>
      <c r="C29">
        <v>-0.08</v>
      </c>
      <c r="D29">
        <v>-6.8</v>
      </c>
      <c r="E29" t="str">
        <f t="shared" si="0"/>
        <v>-</v>
      </c>
      <c r="F29">
        <v>-1E-3</v>
      </c>
      <c r="G29">
        <v>-1</v>
      </c>
      <c r="H29" t="str">
        <f t="shared" si="1"/>
        <v>-</v>
      </c>
      <c r="I29" s="1">
        <v>-0.13</v>
      </c>
      <c r="J29">
        <v>-11.4</v>
      </c>
      <c r="K29" t="str">
        <f t="shared" si="2"/>
        <v>-</v>
      </c>
      <c r="L29">
        <v>-6.0000000000000001E-3</v>
      </c>
      <c r="M29">
        <v>-6.6</v>
      </c>
      <c r="N29" t="str">
        <f t="shared" si="3"/>
        <v>-</v>
      </c>
      <c r="O29" s="1">
        <v>0.13</v>
      </c>
      <c r="P29">
        <v>14.8</v>
      </c>
      <c r="Q29" t="str">
        <f t="shared" si="4"/>
        <v>-</v>
      </c>
      <c r="R29">
        <v>8.0000000000000002E-3</v>
      </c>
      <c r="S29">
        <v>9.8000000000000007</v>
      </c>
      <c r="T29" s="2" t="str">
        <f t="shared" si="5"/>
        <v>-</v>
      </c>
    </row>
    <row r="30" spans="1:20">
      <c r="A30" s="11" t="s">
        <v>11</v>
      </c>
      <c r="B30" s="13">
        <v>0.4</v>
      </c>
      <c r="C30">
        <v>-0.1</v>
      </c>
      <c r="D30">
        <v>-8.5</v>
      </c>
      <c r="E30" t="str">
        <f t="shared" si="0"/>
        <v>-</v>
      </c>
      <c r="F30">
        <v>-0.01</v>
      </c>
      <c r="G30">
        <v>-8.5</v>
      </c>
      <c r="H30" t="str">
        <f t="shared" si="1"/>
        <v>-</v>
      </c>
      <c r="I30" s="1">
        <v>0.11</v>
      </c>
      <c r="J30">
        <v>11.8</v>
      </c>
      <c r="K30" t="str">
        <f t="shared" si="2"/>
        <v>-</v>
      </c>
      <c r="L30">
        <v>-8.9999999999999993E-3</v>
      </c>
      <c r="M30">
        <v>-9.3000000000000007</v>
      </c>
      <c r="N30" t="str">
        <f t="shared" si="3"/>
        <v>-</v>
      </c>
      <c r="O30" s="1">
        <v>-0.17</v>
      </c>
      <c r="P30">
        <v>-16</v>
      </c>
      <c r="Q30" t="str">
        <f t="shared" si="4"/>
        <v>-</v>
      </c>
      <c r="R30">
        <v>-1.9E-2</v>
      </c>
      <c r="S30">
        <v>-17.899999999999999</v>
      </c>
      <c r="T30" s="2" t="str">
        <f t="shared" si="5"/>
        <v>-</v>
      </c>
    </row>
    <row r="31" spans="1:20">
      <c r="A31" s="11" t="s">
        <v>12</v>
      </c>
      <c r="B31" s="13">
        <v>0.4</v>
      </c>
      <c r="C31">
        <v>1.02</v>
      </c>
      <c r="D31">
        <v>57</v>
      </c>
      <c r="E31" t="str">
        <f t="shared" si="0"/>
        <v>?</v>
      </c>
      <c r="F31">
        <v>2.4E-2</v>
      </c>
      <c r="G31">
        <v>15.7</v>
      </c>
      <c r="H31" t="str">
        <f t="shared" si="1"/>
        <v>-</v>
      </c>
      <c r="I31" s="1">
        <v>0.55000000000000004</v>
      </c>
      <c r="J31">
        <v>31.6</v>
      </c>
      <c r="K31" t="str">
        <f t="shared" si="2"/>
        <v>-</v>
      </c>
      <c r="L31">
        <v>1.2E-2</v>
      </c>
      <c r="M31">
        <v>9.8000000000000007</v>
      </c>
      <c r="N31" t="str">
        <f t="shared" si="3"/>
        <v>-</v>
      </c>
      <c r="O31" s="1">
        <v>0.77</v>
      </c>
      <c r="P31">
        <v>56.2</v>
      </c>
      <c r="Q31" t="str">
        <f t="shared" si="4"/>
        <v>?</v>
      </c>
      <c r="R31">
        <v>2.8000000000000001E-2</v>
      </c>
      <c r="S31">
        <v>26.4</v>
      </c>
      <c r="T31" s="2" t="str">
        <f t="shared" si="5"/>
        <v>-</v>
      </c>
    </row>
    <row r="32" spans="1:20">
      <c r="A32" s="11" t="s">
        <v>13</v>
      </c>
      <c r="B32" s="13">
        <v>0.4</v>
      </c>
      <c r="C32">
        <v>-0.35</v>
      </c>
      <c r="D32">
        <v>-34.700000000000003</v>
      </c>
      <c r="E32" t="str">
        <f t="shared" si="0"/>
        <v>-</v>
      </c>
      <c r="F32">
        <v>-5.3999999999999999E-2</v>
      </c>
      <c r="G32">
        <v>-45.4</v>
      </c>
      <c r="H32" t="str">
        <f t="shared" si="1"/>
        <v>-</v>
      </c>
      <c r="I32" s="1">
        <v>-0.03</v>
      </c>
      <c r="J32">
        <v>-3.8</v>
      </c>
      <c r="K32" t="str">
        <f t="shared" si="2"/>
        <v>-</v>
      </c>
      <c r="L32">
        <v>-5.0000000000000001E-3</v>
      </c>
      <c r="M32">
        <v>-6.4</v>
      </c>
      <c r="N32" t="str">
        <f t="shared" si="3"/>
        <v>-</v>
      </c>
      <c r="O32" s="1">
        <v>-0.12</v>
      </c>
      <c r="P32">
        <v>-15.4</v>
      </c>
      <c r="Q32" t="str">
        <f t="shared" si="4"/>
        <v>-</v>
      </c>
      <c r="R32">
        <v>3.0000000000000001E-3</v>
      </c>
      <c r="S32">
        <v>4.0999999999999996</v>
      </c>
      <c r="T32" s="2" t="str">
        <f t="shared" si="5"/>
        <v>-</v>
      </c>
    </row>
    <row r="33" spans="1:20">
      <c r="A33" s="11" t="s">
        <v>9</v>
      </c>
      <c r="B33" s="13">
        <v>0.5</v>
      </c>
      <c r="C33">
        <v>-0.02</v>
      </c>
      <c r="D33">
        <v>-1.8</v>
      </c>
      <c r="E33" t="str">
        <f t="shared" si="0"/>
        <v>-</v>
      </c>
      <c r="F33">
        <v>-5.0000000000000001E-3</v>
      </c>
      <c r="G33">
        <v>-4.4000000000000004</v>
      </c>
      <c r="H33" t="str">
        <f t="shared" si="1"/>
        <v>-</v>
      </c>
      <c r="I33" s="1">
        <v>-0.08</v>
      </c>
      <c r="J33">
        <v>-7.5</v>
      </c>
      <c r="K33" t="str">
        <f t="shared" si="2"/>
        <v>-</v>
      </c>
      <c r="L33">
        <v>-1.7000000000000001E-2</v>
      </c>
      <c r="M33">
        <v>-16.7</v>
      </c>
      <c r="N33" t="str">
        <f t="shared" si="3"/>
        <v>-</v>
      </c>
      <c r="O33" s="1">
        <v>-0.06</v>
      </c>
      <c r="P33">
        <v>-5.9</v>
      </c>
      <c r="Q33" t="str">
        <f t="shared" si="4"/>
        <v>-</v>
      </c>
      <c r="R33">
        <v>-1.9E-2</v>
      </c>
      <c r="S33">
        <v>-19.600000000000001</v>
      </c>
      <c r="T33" s="2" t="str">
        <f t="shared" si="5"/>
        <v>-</v>
      </c>
    </row>
    <row r="34" spans="1:20">
      <c r="A34" s="11" t="s">
        <v>11</v>
      </c>
      <c r="B34" s="13">
        <v>0.5</v>
      </c>
      <c r="C34">
        <v>-0.03</v>
      </c>
      <c r="D34">
        <v>-3.3</v>
      </c>
      <c r="E34" t="str">
        <f t="shared" si="0"/>
        <v>-</v>
      </c>
      <c r="F34">
        <v>-3.0000000000000001E-3</v>
      </c>
      <c r="G34">
        <v>-3.4</v>
      </c>
      <c r="H34" t="str">
        <f t="shared" si="1"/>
        <v>-</v>
      </c>
      <c r="I34" s="1">
        <v>0</v>
      </c>
      <c r="J34">
        <v>0</v>
      </c>
      <c r="K34" t="str">
        <f t="shared" si="2"/>
        <v>-</v>
      </c>
      <c r="L34">
        <v>-2.4E-2</v>
      </c>
      <c r="M34">
        <v>-26.4</v>
      </c>
      <c r="N34" t="str">
        <f t="shared" si="3"/>
        <v>-</v>
      </c>
      <c r="O34" s="1">
        <v>-0.02</v>
      </c>
      <c r="P34">
        <v>-2.4</v>
      </c>
      <c r="Q34" t="str">
        <f t="shared" si="4"/>
        <v>-</v>
      </c>
      <c r="R34">
        <v>-2.8000000000000001E-2</v>
      </c>
      <c r="S34">
        <v>-30.1</v>
      </c>
      <c r="T34" s="2" t="str">
        <f t="shared" si="5"/>
        <v>-</v>
      </c>
    </row>
    <row r="35" spans="1:20">
      <c r="A35" s="11" t="s">
        <v>12</v>
      </c>
      <c r="B35" s="13">
        <v>0.5</v>
      </c>
      <c r="C35">
        <v>0.78</v>
      </c>
      <c r="D35">
        <v>32.4</v>
      </c>
      <c r="E35" t="str">
        <f t="shared" si="0"/>
        <v>-</v>
      </c>
      <c r="F35">
        <v>3.9E-2</v>
      </c>
      <c r="G35">
        <v>27.1</v>
      </c>
      <c r="H35" t="str">
        <f t="shared" si="1"/>
        <v>-</v>
      </c>
      <c r="I35" s="1">
        <v>0.44</v>
      </c>
      <c r="J35">
        <v>20.7</v>
      </c>
      <c r="K35" t="str">
        <f t="shared" si="2"/>
        <v>-</v>
      </c>
      <c r="L35">
        <v>-1E-3</v>
      </c>
      <c r="M35">
        <v>-0.7</v>
      </c>
      <c r="N35" t="str">
        <f t="shared" si="3"/>
        <v>-</v>
      </c>
      <c r="O35" s="1">
        <v>0.26</v>
      </c>
      <c r="P35">
        <v>12.6</v>
      </c>
      <c r="Q35" t="str">
        <f t="shared" si="4"/>
        <v>-</v>
      </c>
      <c r="R35">
        <v>-1.7000000000000001E-2</v>
      </c>
      <c r="S35">
        <v>-12.1</v>
      </c>
      <c r="T35" s="2" t="str">
        <f t="shared" si="5"/>
        <v>-</v>
      </c>
    </row>
    <row r="36" spans="1:20">
      <c r="A36" s="11" t="s">
        <v>13</v>
      </c>
      <c r="B36" s="13">
        <v>0.5</v>
      </c>
      <c r="C36">
        <v>-0.27</v>
      </c>
      <c r="D36">
        <v>-26.7</v>
      </c>
      <c r="E36" t="str">
        <f t="shared" si="0"/>
        <v>-</v>
      </c>
      <c r="F36">
        <v>-2.1000000000000001E-2</v>
      </c>
      <c r="G36">
        <v>-19.600000000000001</v>
      </c>
      <c r="H36" t="str">
        <f t="shared" si="1"/>
        <v>-</v>
      </c>
      <c r="I36" s="1">
        <v>0.06</v>
      </c>
      <c r="J36">
        <v>9.1999999999999993</v>
      </c>
      <c r="K36" t="str">
        <f t="shared" si="2"/>
        <v>-</v>
      </c>
      <c r="L36">
        <v>8.0000000000000002E-3</v>
      </c>
      <c r="M36">
        <v>9.6</v>
      </c>
      <c r="N36" t="str">
        <f t="shared" si="3"/>
        <v>-</v>
      </c>
      <c r="O36" s="1">
        <v>-0.08</v>
      </c>
      <c r="P36">
        <v>-11.1</v>
      </c>
      <c r="Q36" t="str">
        <f t="shared" si="4"/>
        <v>-</v>
      </c>
      <c r="R36">
        <v>-1.4E-2</v>
      </c>
      <c r="S36">
        <v>-16.7</v>
      </c>
      <c r="T36" s="2" t="str">
        <f t="shared" si="5"/>
        <v>-</v>
      </c>
    </row>
    <row r="37" spans="1:20">
      <c r="A37" s="11" t="s">
        <v>9</v>
      </c>
      <c r="B37" s="13">
        <v>0.6</v>
      </c>
      <c r="C37">
        <v>0.1</v>
      </c>
      <c r="D37">
        <v>9.8000000000000007</v>
      </c>
      <c r="E37" t="str">
        <f t="shared" si="0"/>
        <v>-</v>
      </c>
      <c r="F37">
        <v>7.0000000000000001E-3</v>
      </c>
      <c r="G37">
        <v>6.7</v>
      </c>
      <c r="H37" t="str">
        <f t="shared" si="1"/>
        <v>-</v>
      </c>
      <c r="I37" s="1">
        <v>0.11</v>
      </c>
      <c r="J37">
        <v>10.5</v>
      </c>
      <c r="K37" t="str">
        <f t="shared" si="2"/>
        <v>-</v>
      </c>
      <c r="L37">
        <v>-8.0000000000000002E-3</v>
      </c>
      <c r="M37">
        <v>-7.2</v>
      </c>
      <c r="N37" t="str">
        <f t="shared" si="3"/>
        <v>-</v>
      </c>
      <c r="O37" s="1">
        <v>0.02</v>
      </c>
      <c r="P37">
        <v>1.9</v>
      </c>
      <c r="Q37" t="str">
        <f t="shared" si="4"/>
        <v>-</v>
      </c>
      <c r="R37">
        <v>-0.02</v>
      </c>
      <c r="S37">
        <v>-18.3</v>
      </c>
      <c r="T37" s="2" t="str">
        <f t="shared" si="5"/>
        <v>-</v>
      </c>
    </row>
    <row r="38" spans="1:20">
      <c r="A38" s="11" t="s">
        <v>11</v>
      </c>
      <c r="B38" s="13">
        <v>0.6</v>
      </c>
      <c r="C38">
        <v>0</v>
      </c>
      <c r="D38">
        <v>0</v>
      </c>
      <c r="E38" t="str">
        <f t="shared" si="0"/>
        <v>-</v>
      </c>
      <c r="F38">
        <v>8.0000000000000002E-3</v>
      </c>
      <c r="G38">
        <v>8.9</v>
      </c>
      <c r="H38" t="str">
        <f t="shared" si="1"/>
        <v>-</v>
      </c>
      <c r="I38" s="1">
        <v>0.03</v>
      </c>
      <c r="J38">
        <v>3.6</v>
      </c>
      <c r="K38" t="str">
        <f t="shared" si="2"/>
        <v>-</v>
      </c>
      <c r="L38">
        <v>5.0000000000000001E-3</v>
      </c>
      <c r="M38">
        <v>6.2</v>
      </c>
      <c r="N38" t="str">
        <f t="shared" si="3"/>
        <v>-</v>
      </c>
      <c r="O38" s="1">
        <v>7.0000000000000007E-2</v>
      </c>
      <c r="P38">
        <v>8.5</v>
      </c>
      <c r="Q38" t="str">
        <f t="shared" si="4"/>
        <v>-</v>
      </c>
      <c r="R38">
        <v>5.0000000000000001E-3</v>
      </c>
      <c r="S38">
        <v>6.7</v>
      </c>
      <c r="T38" s="2" t="str">
        <f t="shared" si="5"/>
        <v>-</v>
      </c>
    </row>
    <row r="39" spans="1:20">
      <c r="A39" s="11" t="s">
        <v>12</v>
      </c>
      <c r="B39" s="13">
        <v>0.6</v>
      </c>
      <c r="C39">
        <v>0.13</v>
      </c>
      <c r="D39">
        <v>4.2</v>
      </c>
      <c r="E39" t="str">
        <f t="shared" si="0"/>
        <v>-</v>
      </c>
      <c r="F39">
        <v>2.1000000000000001E-2</v>
      </c>
      <c r="G39">
        <v>11.1</v>
      </c>
      <c r="H39" t="str">
        <f t="shared" si="1"/>
        <v>-</v>
      </c>
      <c r="I39" s="1">
        <v>-0.21</v>
      </c>
      <c r="J39">
        <v>-7.7</v>
      </c>
      <c r="K39" t="str">
        <f t="shared" si="2"/>
        <v>-</v>
      </c>
      <c r="L39">
        <v>-2.8000000000000001E-2</v>
      </c>
      <c r="M39">
        <v>-18.5</v>
      </c>
      <c r="N39" t="str">
        <f t="shared" si="3"/>
        <v>-</v>
      </c>
      <c r="O39" s="1">
        <v>0.09</v>
      </c>
      <c r="P39">
        <v>3.3</v>
      </c>
      <c r="Q39" t="str">
        <f t="shared" si="4"/>
        <v>-</v>
      </c>
      <c r="R39">
        <v>-1.0999999999999999E-2</v>
      </c>
      <c r="S39">
        <v>-7.1</v>
      </c>
      <c r="T39" s="2" t="str">
        <f t="shared" si="5"/>
        <v>-</v>
      </c>
    </row>
    <row r="40" spans="1:20">
      <c r="A40" s="11" t="s">
        <v>13</v>
      </c>
      <c r="B40" s="13">
        <v>0.6</v>
      </c>
      <c r="C40">
        <v>-0.25</v>
      </c>
      <c r="D40">
        <v>-28.4</v>
      </c>
      <c r="E40" t="str">
        <f t="shared" si="0"/>
        <v>-</v>
      </c>
      <c r="F40">
        <v>-2.4E-2</v>
      </c>
      <c r="G40">
        <v>-22.2</v>
      </c>
      <c r="H40" t="str">
        <f t="shared" si="1"/>
        <v>-</v>
      </c>
      <c r="I40" s="1">
        <v>-0.04</v>
      </c>
      <c r="J40">
        <v>-5.3</v>
      </c>
      <c r="K40" t="str">
        <f t="shared" si="2"/>
        <v>-</v>
      </c>
      <c r="L40">
        <v>-4.4999999999999998E-2</v>
      </c>
      <c r="M40">
        <v>-39.1</v>
      </c>
      <c r="N40" t="str">
        <f t="shared" si="3"/>
        <v>-</v>
      </c>
      <c r="O40" s="1">
        <v>0.03</v>
      </c>
      <c r="P40">
        <v>3.7</v>
      </c>
      <c r="Q40" t="str">
        <f t="shared" si="4"/>
        <v>-</v>
      </c>
      <c r="R40">
        <v>1.7000000000000001E-2</v>
      </c>
      <c r="S40">
        <v>24.3</v>
      </c>
      <c r="T40" s="2" t="str">
        <f t="shared" si="5"/>
        <v>-</v>
      </c>
    </row>
    <row r="41" spans="1:20">
      <c r="A41" s="11" t="s">
        <v>9</v>
      </c>
      <c r="B41" s="13">
        <v>0.7</v>
      </c>
      <c r="C41">
        <v>0.11</v>
      </c>
      <c r="D41">
        <v>9.1999999999999993</v>
      </c>
      <c r="E41" t="str">
        <f t="shared" si="0"/>
        <v>-</v>
      </c>
      <c r="F41">
        <v>2E-3</v>
      </c>
      <c r="G41">
        <v>1.7</v>
      </c>
      <c r="H41" t="str">
        <f t="shared" si="1"/>
        <v>-</v>
      </c>
      <c r="I41" s="1">
        <v>0.04</v>
      </c>
      <c r="J41">
        <v>3.4</v>
      </c>
      <c r="K41" t="str">
        <f t="shared" si="2"/>
        <v>-</v>
      </c>
      <c r="L41">
        <v>-1.4999999999999999E-2</v>
      </c>
      <c r="M41">
        <v>-12.4</v>
      </c>
      <c r="N41" t="str">
        <f t="shared" si="3"/>
        <v>-</v>
      </c>
      <c r="O41" s="1">
        <v>-0.09</v>
      </c>
      <c r="P41">
        <v>-7.3</v>
      </c>
      <c r="Q41" t="str">
        <f t="shared" si="4"/>
        <v>-</v>
      </c>
      <c r="R41">
        <v>-2.9000000000000001E-2</v>
      </c>
      <c r="S41">
        <v>-23.6</v>
      </c>
      <c r="T41" s="2" t="str">
        <f t="shared" si="5"/>
        <v>-</v>
      </c>
    </row>
    <row r="42" spans="1:20">
      <c r="A42" s="11" t="s">
        <v>11</v>
      </c>
      <c r="B42" s="13">
        <v>0.7</v>
      </c>
      <c r="C42">
        <v>0.06</v>
      </c>
      <c r="D42">
        <v>6.3</v>
      </c>
      <c r="E42" t="str">
        <f t="shared" si="0"/>
        <v>-</v>
      </c>
      <c r="F42">
        <v>-3.0000000000000001E-3</v>
      </c>
      <c r="G42">
        <v>-3.4</v>
      </c>
      <c r="H42" t="str">
        <f t="shared" si="1"/>
        <v>-</v>
      </c>
      <c r="I42" s="1">
        <v>0.21</v>
      </c>
      <c r="J42">
        <v>25.3</v>
      </c>
      <c r="K42" t="str">
        <f t="shared" si="2"/>
        <v>-</v>
      </c>
      <c r="L42">
        <v>-3.0000000000000001E-3</v>
      </c>
      <c r="M42">
        <v>-3.8</v>
      </c>
      <c r="N42" t="str">
        <f t="shared" si="3"/>
        <v>-</v>
      </c>
      <c r="O42" s="1">
        <v>0.04</v>
      </c>
      <c r="P42">
        <v>4.3</v>
      </c>
      <c r="Q42" t="str">
        <f t="shared" si="4"/>
        <v>-</v>
      </c>
      <c r="R42">
        <v>-2.7E-2</v>
      </c>
      <c r="S42">
        <v>-30</v>
      </c>
      <c r="T42" s="2" t="str">
        <f t="shared" si="5"/>
        <v>-</v>
      </c>
    </row>
    <row r="43" spans="1:20">
      <c r="A43" s="11" t="s">
        <v>12</v>
      </c>
      <c r="B43" s="13">
        <v>0.7</v>
      </c>
      <c r="C43">
        <v>0.05</v>
      </c>
      <c r="D43">
        <v>1.5</v>
      </c>
      <c r="E43" t="str">
        <f t="shared" si="0"/>
        <v>-</v>
      </c>
      <c r="F43">
        <v>-2E-3</v>
      </c>
      <c r="G43">
        <v>-1</v>
      </c>
      <c r="H43" t="str">
        <f t="shared" si="1"/>
        <v>-</v>
      </c>
      <c r="I43" s="1">
        <v>-1.0900000000000001</v>
      </c>
      <c r="J43">
        <v>-28.5</v>
      </c>
      <c r="K43" t="str">
        <f t="shared" si="2"/>
        <v>-</v>
      </c>
      <c r="L43">
        <v>-5.6000000000000001E-2</v>
      </c>
      <c r="M43">
        <v>-26.3</v>
      </c>
      <c r="N43" t="str">
        <f t="shared" si="3"/>
        <v>-</v>
      </c>
      <c r="O43" s="1">
        <v>-0.9</v>
      </c>
      <c r="P43">
        <v>-23</v>
      </c>
      <c r="Q43" t="str">
        <f t="shared" si="4"/>
        <v>-</v>
      </c>
      <c r="R43">
        <v>-5.1999999999999998E-2</v>
      </c>
      <c r="S43">
        <v>-25.1</v>
      </c>
      <c r="T43" s="2" t="str">
        <f t="shared" si="5"/>
        <v>-</v>
      </c>
    </row>
    <row r="44" spans="1:20">
      <c r="A44" s="11" t="s">
        <v>13</v>
      </c>
      <c r="B44" s="13">
        <v>0.7</v>
      </c>
      <c r="C44">
        <v>0.25</v>
      </c>
      <c r="D44">
        <v>34.200000000000003</v>
      </c>
      <c r="E44" t="str">
        <f t="shared" si="0"/>
        <v>-</v>
      </c>
      <c r="F44">
        <v>0.03</v>
      </c>
      <c r="G44">
        <v>37.5</v>
      </c>
      <c r="H44" t="str">
        <f t="shared" si="1"/>
        <v>-</v>
      </c>
      <c r="I44" s="1">
        <v>0.22</v>
      </c>
      <c r="J44">
        <v>32.799999999999997</v>
      </c>
      <c r="K44" t="str">
        <f t="shared" si="2"/>
        <v>-</v>
      </c>
      <c r="L44">
        <v>3.9E-2</v>
      </c>
      <c r="M44">
        <v>51.3</v>
      </c>
      <c r="N44" t="str">
        <f t="shared" si="3"/>
        <v>?</v>
      </c>
      <c r="O44" s="1">
        <v>0.12</v>
      </c>
      <c r="P44">
        <v>17.399999999999999</v>
      </c>
      <c r="Q44" t="str">
        <f t="shared" si="4"/>
        <v>-</v>
      </c>
      <c r="R44">
        <v>2.4E-2</v>
      </c>
      <c r="S44">
        <v>42.9</v>
      </c>
      <c r="T44" s="2" t="str">
        <f t="shared" si="5"/>
        <v>-</v>
      </c>
    </row>
    <row r="45" spans="1:20">
      <c r="A45" s="11" t="s">
        <v>9</v>
      </c>
      <c r="B45" s="13">
        <v>0.8</v>
      </c>
      <c r="C45">
        <v>-0.45</v>
      </c>
      <c r="D45">
        <v>-23.9</v>
      </c>
      <c r="E45" t="str">
        <f t="shared" si="0"/>
        <v>-</v>
      </c>
      <c r="F45">
        <v>-3.4000000000000002E-2</v>
      </c>
      <c r="G45">
        <v>-22.5</v>
      </c>
      <c r="H45" t="str">
        <f t="shared" si="1"/>
        <v>-</v>
      </c>
      <c r="I45" s="1">
        <v>-1.69</v>
      </c>
      <c r="J45">
        <v>-55.8</v>
      </c>
      <c r="K45" t="str">
        <f t="shared" si="2"/>
        <v>?</v>
      </c>
      <c r="L45">
        <v>-4.2999999999999997E-2</v>
      </c>
      <c r="M45">
        <v>-27.2</v>
      </c>
      <c r="N45" t="str">
        <f t="shared" si="3"/>
        <v>-</v>
      </c>
      <c r="O45" s="1">
        <v>-1.97</v>
      </c>
      <c r="P45">
        <v>-59</v>
      </c>
      <c r="Q45" t="str">
        <f t="shared" si="4"/>
        <v>?</v>
      </c>
      <c r="R45">
        <v>-4.2999999999999997E-2</v>
      </c>
      <c r="S45">
        <v>-27.7</v>
      </c>
      <c r="T45" s="2" t="str">
        <f t="shared" si="5"/>
        <v>-</v>
      </c>
    </row>
    <row r="46" spans="1:20">
      <c r="A46" s="11" t="s">
        <v>11</v>
      </c>
      <c r="B46" s="13">
        <v>0.8</v>
      </c>
      <c r="C46">
        <v>-1.2</v>
      </c>
      <c r="D46">
        <v>-51.5</v>
      </c>
      <c r="E46" t="str">
        <f t="shared" si="0"/>
        <v>?</v>
      </c>
      <c r="F46">
        <v>-4.9000000000000002E-2</v>
      </c>
      <c r="G46">
        <v>-38.9</v>
      </c>
      <c r="H46" t="str">
        <f t="shared" si="1"/>
        <v>-</v>
      </c>
      <c r="I46" s="1">
        <v>-3.74</v>
      </c>
      <c r="J46">
        <v>-75.099999999999994</v>
      </c>
      <c r="K46" t="str">
        <f t="shared" si="2"/>
        <v>?</v>
      </c>
      <c r="L46">
        <v>-0.157</v>
      </c>
      <c r="M46">
        <v>-68.3</v>
      </c>
      <c r="N46" t="str">
        <f t="shared" si="3"/>
        <v>?</v>
      </c>
      <c r="O46" s="1">
        <v>-4.24</v>
      </c>
      <c r="P46">
        <v>-78.7</v>
      </c>
      <c r="Q46" t="str">
        <f t="shared" si="4"/>
        <v>?</v>
      </c>
      <c r="R46">
        <v>-0.156</v>
      </c>
      <c r="S46">
        <v>-67.5</v>
      </c>
      <c r="T46" s="2" t="str">
        <f t="shared" si="5"/>
        <v>?</v>
      </c>
    </row>
    <row r="47" spans="1:20">
      <c r="A47" s="11" t="s">
        <v>12</v>
      </c>
      <c r="B47" s="13">
        <v>0.8</v>
      </c>
      <c r="C47">
        <v>-1.75</v>
      </c>
      <c r="D47">
        <v>-34.700000000000003</v>
      </c>
      <c r="E47" t="str">
        <f t="shared" si="0"/>
        <v>-</v>
      </c>
      <c r="F47">
        <v>-1.7999999999999999E-2</v>
      </c>
      <c r="G47">
        <v>-7.8</v>
      </c>
      <c r="H47" t="str">
        <f t="shared" si="1"/>
        <v>-</v>
      </c>
      <c r="I47" s="1">
        <v>-3.95</v>
      </c>
      <c r="J47">
        <v>-56.1</v>
      </c>
      <c r="K47" t="str">
        <f t="shared" si="2"/>
        <v>?</v>
      </c>
      <c r="L47">
        <v>-9.0999999999999998E-2</v>
      </c>
      <c r="M47">
        <v>-35.1</v>
      </c>
      <c r="N47" t="str">
        <f t="shared" si="3"/>
        <v>-</v>
      </c>
      <c r="O47" s="1">
        <v>-4.1399999999999997</v>
      </c>
      <c r="P47">
        <v>-56.6</v>
      </c>
      <c r="Q47" t="str">
        <f t="shared" si="4"/>
        <v>?</v>
      </c>
      <c r="R47">
        <v>-9.7000000000000003E-2</v>
      </c>
      <c r="S47">
        <v>-37.700000000000003</v>
      </c>
      <c r="T47" s="2" t="str">
        <f t="shared" si="5"/>
        <v>-</v>
      </c>
    </row>
    <row r="48" spans="1:20">
      <c r="A48" s="11" t="s">
        <v>13</v>
      </c>
      <c r="B48" s="13">
        <v>0.8</v>
      </c>
      <c r="C48">
        <v>-2.98</v>
      </c>
      <c r="D48">
        <v>-73</v>
      </c>
      <c r="E48" t="str">
        <f t="shared" si="0"/>
        <v>?</v>
      </c>
      <c r="F48">
        <v>6.3E-2</v>
      </c>
      <c r="G48">
        <v>85.1</v>
      </c>
      <c r="H48" t="str">
        <f t="shared" si="1"/>
        <v>?</v>
      </c>
      <c r="I48" s="1">
        <v>-4</v>
      </c>
      <c r="J48">
        <v>-79.400000000000006</v>
      </c>
      <c r="K48" t="str">
        <f t="shared" si="2"/>
        <v>?</v>
      </c>
      <c r="L48">
        <v>2.8000000000000001E-2</v>
      </c>
      <c r="M48">
        <v>35.4</v>
      </c>
      <c r="N48" t="str">
        <f t="shared" si="3"/>
        <v>-</v>
      </c>
      <c r="O48" s="1">
        <v>-4.03</v>
      </c>
      <c r="P48">
        <v>-81.900000000000006</v>
      </c>
      <c r="Q48" t="str">
        <f t="shared" si="4"/>
        <v>?</v>
      </c>
      <c r="R48">
        <v>2E-3</v>
      </c>
      <c r="S48">
        <v>2.5</v>
      </c>
      <c r="T48" s="2" t="str">
        <f t="shared" si="5"/>
        <v>-</v>
      </c>
    </row>
    <row r="49" spans="1:20">
      <c r="A49" s="11" t="s">
        <v>9</v>
      </c>
      <c r="B49" s="13">
        <v>0.9</v>
      </c>
      <c r="C49">
        <v>-6.35</v>
      </c>
      <c r="D49">
        <v>-75.2</v>
      </c>
      <c r="E49" t="str">
        <f t="shared" si="0"/>
        <v>?</v>
      </c>
      <c r="F49">
        <v>-8.5000000000000006E-2</v>
      </c>
      <c r="G49">
        <v>-36.799999999999997</v>
      </c>
      <c r="H49" t="str">
        <f t="shared" si="1"/>
        <v>-</v>
      </c>
      <c r="I49" s="1">
        <v>-6</v>
      </c>
      <c r="J49">
        <v>-75.400000000000006</v>
      </c>
      <c r="K49" t="str">
        <f t="shared" si="2"/>
        <v>?</v>
      </c>
      <c r="L49">
        <v>-8.6999999999999994E-2</v>
      </c>
      <c r="M49">
        <v>-39.700000000000003</v>
      </c>
      <c r="N49" t="str">
        <f t="shared" si="3"/>
        <v>-</v>
      </c>
      <c r="O49" s="1">
        <v>-6.06</v>
      </c>
      <c r="P49">
        <v>-75.900000000000006</v>
      </c>
      <c r="Q49" t="str">
        <f t="shared" si="4"/>
        <v>?</v>
      </c>
      <c r="R49">
        <v>-8.3000000000000004E-2</v>
      </c>
      <c r="S49">
        <v>-38.799999999999997</v>
      </c>
      <c r="T49" s="2" t="str">
        <f t="shared" si="5"/>
        <v>-</v>
      </c>
    </row>
    <row r="50" spans="1:20">
      <c r="A50" s="11" t="s">
        <v>11</v>
      </c>
      <c r="B50" s="13">
        <v>0.9</v>
      </c>
      <c r="C50">
        <v>-7.41</v>
      </c>
      <c r="D50">
        <v>-80.7</v>
      </c>
      <c r="E50" t="str">
        <f t="shared" si="0"/>
        <v>?</v>
      </c>
      <c r="F50">
        <v>-0.14399999999999999</v>
      </c>
      <c r="G50">
        <v>-60.8</v>
      </c>
      <c r="H50" t="str">
        <f t="shared" si="1"/>
        <v>?</v>
      </c>
      <c r="I50" s="1">
        <v>-7.92</v>
      </c>
      <c r="J50">
        <v>-83.5</v>
      </c>
      <c r="K50" t="str">
        <f t="shared" si="2"/>
        <v>?</v>
      </c>
      <c r="L50">
        <v>-0.13600000000000001</v>
      </c>
      <c r="M50">
        <v>-64.5</v>
      </c>
      <c r="N50" t="str">
        <f t="shared" si="3"/>
        <v>?</v>
      </c>
      <c r="O50" s="1">
        <v>-7.84</v>
      </c>
      <c r="P50">
        <v>-83</v>
      </c>
      <c r="Q50" t="str">
        <f t="shared" si="4"/>
        <v>?</v>
      </c>
      <c r="R50">
        <v>-0.15</v>
      </c>
      <c r="S50">
        <v>-69.099999999999994</v>
      </c>
      <c r="T50" s="2" t="str">
        <f t="shared" si="5"/>
        <v>?</v>
      </c>
    </row>
    <row r="51" spans="1:20">
      <c r="A51" s="11" t="s">
        <v>12</v>
      </c>
      <c r="B51" s="13">
        <v>0.9</v>
      </c>
      <c r="C51">
        <v>-3.86</v>
      </c>
      <c r="D51">
        <v>-46.6</v>
      </c>
      <c r="E51" t="str">
        <f t="shared" si="0"/>
        <v>-</v>
      </c>
      <c r="F51">
        <v>4.8000000000000001E-2</v>
      </c>
      <c r="G51">
        <v>34.5</v>
      </c>
      <c r="H51" t="str">
        <f t="shared" si="1"/>
        <v>-</v>
      </c>
      <c r="I51" s="1">
        <v>-4.16</v>
      </c>
      <c r="J51">
        <v>-50.2</v>
      </c>
      <c r="K51" t="str">
        <f t="shared" si="2"/>
        <v>?</v>
      </c>
      <c r="L51">
        <v>5.0000000000000001E-3</v>
      </c>
      <c r="M51">
        <v>3.7</v>
      </c>
      <c r="N51" t="str">
        <f t="shared" si="3"/>
        <v>-</v>
      </c>
      <c r="O51" s="1">
        <v>-4.2699999999999996</v>
      </c>
      <c r="P51">
        <v>-51.7</v>
      </c>
      <c r="Q51" t="str">
        <f t="shared" si="4"/>
        <v>?</v>
      </c>
      <c r="R51">
        <v>-3.0000000000000001E-3</v>
      </c>
      <c r="S51">
        <v>-2.2000000000000002</v>
      </c>
      <c r="T51" s="2" t="str">
        <f t="shared" si="5"/>
        <v>-</v>
      </c>
    </row>
    <row r="52" spans="1:20">
      <c r="A52" s="11" t="s">
        <v>13</v>
      </c>
      <c r="B52" s="13">
        <v>0.9</v>
      </c>
      <c r="C52">
        <v>-4.7</v>
      </c>
      <c r="D52">
        <v>-66.2</v>
      </c>
      <c r="E52" t="str">
        <f t="shared" si="0"/>
        <v>?</v>
      </c>
      <c r="F52">
        <v>1.4E-2</v>
      </c>
      <c r="G52">
        <v>8.3000000000000007</v>
      </c>
      <c r="H52" t="str">
        <f t="shared" si="1"/>
        <v>-</v>
      </c>
      <c r="I52" s="1">
        <v>-4.7699999999999996</v>
      </c>
      <c r="J52">
        <v>-68.7</v>
      </c>
      <c r="K52" t="str">
        <f t="shared" si="2"/>
        <v>?</v>
      </c>
      <c r="L52">
        <v>-8.1000000000000003E-2</v>
      </c>
      <c r="M52">
        <v>-33.6</v>
      </c>
      <c r="N52" t="str">
        <f t="shared" si="3"/>
        <v>-</v>
      </c>
      <c r="O52" s="1">
        <v>-4.92</v>
      </c>
      <c r="P52">
        <v>-70.599999999999994</v>
      </c>
      <c r="Q52" t="str">
        <f t="shared" si="4"/>
        <v>?</v>
      </c>
      <c r="R52">
        <v>-0.107</v>
      </c>
      <c r="S52">
        <v>-42.6</v>
      </c>
      <c r="T52" s="2" t="str">
        <f t="shared" si="5"/>
        <v>-</v>
      </c>
    </row>
    <row r="53" spans="1:20" s="8" customFormat="1">
      <c r="A53" s="14"/>
      <c r="B53" s="15"/>
      <c r="I53" s="10"/>
      <c r="O53" s="10"/>
      <c r="T53" s="9"/>
    </row>
    <row r="56" spans="1:20">
      <c r="B56" s="4" t="s">
        <v>19</v>
      </c>
      <c r="C56" s="25">
        <f>AVERAGE(C$5:C$52)</f>
        <v>-0.56187500000000001</v>
      </c>
      <c r="D56">
        <f>AVERAGE(D$5:D$52)</f>
        <v>-7.7437499999999995</v>
      </c>
      <c r="F56">
        <f>AVERAGE(F$5:F$52)</f>
        <v>-6.9791666666666674E-3</v>
      </c>
      <c r="G56">
        <f>AVERAGE(G$5:G$52)</f>
        <v>-2.0916666666666663</v>
      </c>
      <c r="H56" s="25"/>
      <c r="I56" s="1">
        <f>AVERAGE(I$5:I$52)</f>
        <v>-0.80520833333333319</v>
      </c>
      <c r="J56">
        <f>AVERAGE(J$5:J$52)</f>
        <v>-9.4874999999999989</v>
      </c>
      <c r="L56">
        <f>AVERAGE(L$5:L$52)</f>
        <v>-2.3520833333333342E-2</v>
      </c>
      <c r="M56">
        <f>AVERAGE(M$5:M$52)</f>
        <v>-11.120833333333335</v>
      </c>
      <c r="N56" s="2"/>
      <c r="O56" s="25">
        <f>AVERAGE(O$5:O$52)</f>
        <v>-0.84625000000000006</v>
      </c>
      <c r="P56">
        <f>AVERAGE(P$5:P$52)</f>
        <v>-13.050000000000002</v>
      </c>
      <c r="R56">
        <f>AVERAGE(R$5:R$52)</f>
        <v>-2.7625E-2</v>
      </c>
      <c r="S56">
        <f>AVERAGE(S$5:S$52)</f>
        <v>-14.006250000000007</v>
      </c>
      <c r="T56" s="25"/>
    </row>
    <row r="57" spans="1:20">
      <c r="B57" s="4" t="s">
        <v>20</v>
      </c>
      <c r="C57" s="25">
        <f>MEDIAN(C$5:C$52)</f>
        <v>-0.03</v>
      </c>
      <c r="D57">
        <f>MEDIAN(D$5:D$52)</f>
        <v>-2.8499999999999996</v>
      </c>
      <c r="F57">
        <f>MEDIAN(F$5:F$52)</f>
        <v>-5.4999999999999997E-3</v>
      </c>
      <c r="G57">
        <f>MEDIAN(G$5:G$52)</f>
        <v>-4.7</v>
      </c>
      <c r="H57" s="25"/>
      <c r="I57" s="1">
        <f>MEDIAN(I$5:I$52)</f>
        <v>-4.4999999999999998E-2</v>
      </c>
      <c r="J57">
        <f>MEDIAN(J$5:J$52)</f>
        <v>-4.55</v>
      </c>
      <c r="L57">
        <f>MEDIAN(L$5:L$52)</f>
        <v>-9.9999999999999985E-3</v>
      </c>
      <c r="M57">
        <f>MEDIAN(M$5:M$52)</f>
        <v>-8.25</v>
      </c>
      <c r="N57" s="2"/>
      <c r="O57" s="25">
        <f>MEDIAN(O$5:O$52)</f>
        <v>-7.5000000000000011E-2</v>
      </c>
      <c r="P57">
        <f>MEDIAN(P$5:P$52)</f>
        <v>-6.75</v>
      </c>
      <c r="R57">
        <f>MEDIAN(R$5:R$52)</f>
        <v>-2.0500000000000001E-2</v>
      </c>
      <c r="S57">
        <f>MEDIAN(S$5:S$52)</f>
        <v>-18.55</v>
      </c>
      <c r="T57" s="25"/>
    </row>
    <row r="58" spans="1:20">
      <c r="B58" s="4" t="s">
        <v>21</v>
      </c>
      <c r="C58" s="25">
        <f>STDEV(C$5:C$52)</f>
        <v>1.7112937202036682</v>
      </c>
      <c r="D58">
        <f>STDEV(D$5:D$52)</f>
        <v>30.172362344836127</v>
      </c>
      <c r="F58">
        <f>STDEV(F$5:F$52)</f>
        <v>3.6695694908567889E-2</v>
      </c>
      <c r="G58">
        <f>STDEV(G$5:G$52)</f>
        <v>25.37179564367483</v>
      </c>
      <c r="H58" s="25"/>
      <c r="I58" s="1">
        <f>STDEV(I$5:I$52)</f>
        <v>1.8588969385133176</v>
      </c>
      <c r="J58">
        <f>STDEV(J$5:J$52)</f>
        <v>31.899500596370981</v>
      </c>
      <c r="L58">
        <f>STDEV(L$5:L$52)</f>
        <v>4.321888357145659E-2</v>
      </c>
      <c r="M58">
        <f>STDEV(M$5:M$52)</f>
        <v>24.439129405510556</v>
      </c>
      <c r="N58" s="2"/>
      <c r="O58" s="25">
        <f>STDEV(O$5:O$52)</f>
        <v>1.8807339275886366</v>
      </c>
      <c r="P58">
        <f>STDEV(P$5:P$52)</f>
        <v>30.753958402891953</v>
      </c>
      <c r="R58">
        <f>STDEV(R$5:R$52)</f>
        <v>4.4415650394877701E-2</v>
      </c>
      <c r="S58">
        <f>STDEV(S$5:S$52)</f>
        <v>26.81382150936658</v>
      </c>
      <c r="T58" s="25"/>
    </row>
    <row r="59" spans="1:20">
      <c r="B59" s="4" t="s">
        <v>22</v>
      </c>
      <c r="C59" s="25">
        <f>COUNTIF(C$5:C$52, "&lt;0")</f>
        <v>28</v>
      </c>
      <c r="D59">
        <f>COUNTIF(D$5:D$52, "&lt;0")</f>
        <v>28</v>
      </c>
      <c r="F59">
        <f>COUNTIF(F$5:F$52, "&lt;0")</f>
        <v>31</v>
      </c>
      <c r="G59">
        <f>COUNTIF(G$5:G$52, "&lt;0")</f>
        <v>31</v>
      </c>
      <c r="H59" s="25"/>
      <c r="I59" s="1">
        <f>COUNTIF(I$5:I$52, "&lt;0")</f>
        <v>27</v>
      </c>
      <c r="J59">
        <f>COUNTIF(J$5:J$52, "&lt;0")</f>
        <v>27</v>
      </c>
      <c r="L59">
        <f>COUNTIF(L$5:L$52, "&lt;0")</f>
        <v>35</v>
      </c>
      <c r="M59">
        <f>COUNTIF(M$5:M$52, "&lt;0")</f>
        <v>35</v>
      </c>
      <c r="N59" s="2"/>
      <c r="O59" s="25">
        <f>COUNTIF(O$5:O$52, "&lt;0")</f>
        <v>30</v>
      </c>
      <c r="P59">
        <f>COUNTIF(P$5:P$52, "&lt;0")</f>
        <v>30</v>
      </c>
      <c r="R59">
        <f>COUNTIF(R$5:R$52, "&lt;0")</f>
        <v>36</v>
      </c>
      <c r="S59">
        <f>COUNTIF(S$5:S$52, "&lt;0")</f>
        <v>36</v>
      </c>
      <c r="T59" s="25"/>
    </row>
    <row r="60" spans="1:20">
      <c r="C60" s="25"/>
      <c r="H60" s="25"/>
      <c r="N60" s="2"/>
      <c r="O60" s="25"/>
      <c r="T60" s="25"/>
    </row>
    <row r="61" spans="1:20">
      <c r="C61" s="25"/>
      <c r="H61" s="25"/>
      <c r="N61" s="2"/>
      <c r="O61" s="25"/>
      <c r="T61" s="25"/>
    </row>
    <row r="62" spans="1:20">
      <c r="B62" s="24" t="s">
        <v>23</v>
      </c>
      <c r="C62" s="25"/>
      <c r="H62" s="25"/>
      <c r="N62" s="2"/>
      <c r="O62" s="25"/>
      <c r="T62" s="25"/>
    </row>
    <row r="63" spans="1:20">
      <c r="B63" s="4" t="s">
        <v>19</v>
      </c>
      <c r="C63" s="25">
        <f>AVERAGE(C$5:C$28)</f>
        <v>1.3750000000000004E-2</v>
      </c>
      <c r="D63">
        <f>AVERAGE(D$5:D$28)</f>
        <v>1.4874999999999996</v>
      </c>
      <c r="F63">
        <f>AVERAGE(F$5:F$28)</f>
        <v>-5.7500000000000008E-3</v>
      </c>
      <c r="G63">
        <f>AVERAGE(G$5:G$28)</f>
        <v>-2.5541666666666658</v>
      </c>
      <c r="H63" s="25"/>
      <c r="I63" s="1">
        <f>AVERAGE(I$5:I$28)</f>
        <v>-0.10875000000000001</v>
      </c>
      <c r="J63">
        <f>AVERAGE(J$5:J$28)</f>
        <v>0.17083333333333264</v>
      </c>
      <c r="L63">
        <f>AVERAGE(L$5:L$28)</f>
        <v>-1.7250000000000005E-2</v>
      </c>
      <c r="M63">
        <f>AVERAGE(M$5:M$28)</f>
        <v>-8.6666666666666696</v>
      </c>
      <c r="N63" s="2"/>
      <c r="O63" s="25">
        <f>AVERAGE(O$5:O$28)</f>
        <v>-0.13500000000000001</v>
      </c>
      <c r="P63">
        <f>AVERAGE(P$5:P$28)</f>
        <v>-4.6083333333333352</v>
      </c>
      <c r="R63">
        <f>AVERAGE(R$5:R$28)</f>
        <v>-2.2416666666666672E-2</v>
      </c>
      <c r="S63">
        <f>AVERAGE(S$5:S$28)</f>
        <v>-12.620833333333337</v>
      </c>
      <c r="T63" s="25"/>
    </row>
    <row r="64" spans="1:20">
      <c r="B64" s="4" t="s">
        <v>20</v>
      </c>
      <c r="C64" s="25">
        <f>MEDIAN(C$5:C$28)</f>
        <v>-1.4999999999999999E-2</v>
      </c>
      <c r="D64">
        <f>MEDIAN(D$5:D$28)</f>
        <v>-1.35</v>
      </c>
      <c r="F64">
        <f>MEDIAN(F$5:F$28)</f>
        <v>-7.4999999999999997E-3</v>
      </c>
      <c r="G64">
        <f>MEDIAN(G$5:G$28)</f>
        <v>-5.35</v>
      </c>
      <c r="H64" s="25"/>
      <c r="I64" s="1">
        <f>MEDIAN(I$5:I$28)</f>
        <v>-0.04</v>
      </c>
      <c r="J64">
        <f>MEDIAN(J$5:J$28)</f>
        <v>-3.2</v>
      </c>
      <c r="L64">
        <f>MEDIAN(L$5:L$28)</f>
        <v>-9.9999999999999985E-3</v>
      </c>
      <c r="M64">
        <f>MEDIAN(M$5:M$28)</f>
        <v>-6.5</v>
      </c>
      <c r="N64" s="2"/>
      <c r="O64" s="25">
        <f>MEDIAN(O$5:O$28)</f>
        <v>-5.5000000000000007E-2</v>
      </c>
      <c r="P64">
        <f>MEDIAN(P$5:P$28)</f>
        <v>-4.5</v>
      </c>
      <c r="R64">
        <f>MEDIAN(R$5:R$28)</f>
        <v>-2.1000000000000001E-2</v>
      </c>
      <c r="S64">
        <f>MEDIAN(S$5:S$28)</f>
        <v>-19.25</v>
      </c>
      <c r="T64" s="25"/>
    </row>
    <row r="65" spans="2:20">
      <c r="B65" s="4" t="s">
        <v>21</v>
      </c>
      <c r="C65" s="25">
        <f>STDEV(C$5:C$28)</f>
        <v>0.46402597847065863</v>
      </c>
      <c r="D65">
        <f>STDEV(D$5:D$28)</f>
        <v>19.302856569407815</v>
      </c>
      <c r="F65">
        <f>STDEV(F$5:F$28)</f>
        <v>2.8655752893843908E-2</v>
      </c>
      <c r="G65">
        <f>STDEV(G$5:G$28)</f>
        <v>19.763910437894154</v>
      </c>
      <c r="H65" s="25"/>
      <c r="I65" s="1">
        <f>STDEV(I$5:I$28)</f>
        <v>0.42415452987960806</v>
      </c>
      <c r="J65">
        <f>STDEV(J$5:J$28)</f>
        <v>20.261131758737655</v>
      </c>
      <c r="L65">
        <f>STDEV(L$5:L$28)</f>
        <v>3.6106424816692649E-2</v>
      </c>
      <c r="M65">
        <f>STDEV(M$5:M$28)</f>
        <v>21.516437935896253</v>
      </c>
      <c r="N65" s="2"/>
      <c r="O65" s="25">
        <f>STDEV(O$5:O$28)</f>
        <v>0.34495116226478512</v>
      </c>
      <c r="P65">
        <f>STDEV(P$5:P$28)</f>
        <v>17.47997404899742</v>
      </c>
      <c r="R65">
        <f>STDEV(R$5:R$28)</f>
        <v>3.7481493017762497E-2</v>
      </c>
      <c r="S65">
        <f>STDEV(S$5:S$28)</f>
        <v>26.979041449544344</v>
      </c>
      <c r="T65" s="25"/>
    </row>
    <row r="66" spans="2:20">
      <c r="B66" s="4" t="s">
        <v>22</v>
      </c>
      <c r="C66" s="25">
        <f>COUNTIF(C$5:C$28, "&lt;0")</f>
        <v>13</v>
      </c>
      <c r="D66">
        <f>COUNTIF(D$5:D$28, "&lt;0")</f>
        <v>13</v>
      </c>
      <c r="F66">
        <f>COUNTIF(F$5:F$28, "&lt;0")</f>
        <v>17</v>
      </c>
      <c r="G66">
        <f>COUNTIF(G$5:G$28, "&lt;0")</f>
        <v>17</v>
      </c>
      <c r="H66" s="25"/>
      <c r="I66" s="1">
        <f>COUNTIF(I$5:I$28, "&lt;0")</f>
        <v>13</v>
      </c>
      <c r="J66">
        <f>COUNTIF(J$5:J$28, "&lt;0")</f>
        <v>13</v>
      </c>
      <c r="L66">
        <f>COUNTIF(L$5:L$28, "&lt;0")</f>
        <v>17</v>
      </c>
      <c r="M66">
        <f>COUNTIF(M$5:M$28, "&lt;0")</f>
        <v>17</v>
      </c>
      <c r="N66" s="2"/>
      <c r="O66" s="25">
        <f>COUNTIF(O$5:O$28, "&lt;0")</f>
        <v>15</v>
      </c>
      <c r="P66">
        <f>COUNTIF(P$5:P$28, "&lt;0")</f>
        <v>15</v>
      </c>
      <c r="R66">
        <f>COUNTIF(R$5:R$28, "&lt;0")</f>
        <v>19</v>
      </c>
      <c r="S66">
        <f>COUNTIF(S$5:S$28, "&lt;0")</f>
        <v>19</v>
      </c>
      <c r="T66" s="25"/>
    </row>
    <row r="67" spans="2:20">
      <c r="C67" s="25"/>
      <c r="H67" s="25"/>
      <c r="N67" s="2"/>
      <c r="O67" s="25"/>
      <c r="T67" s="25"/>
    </row>
    <row r="68" spans="2:20">
      <c r="C68" s="25"/>
      <c r="H68" s="25"/>
      <c r="N68" s="2"/>
      <c r="O68" s="25"/>
      <c r="T68" s="25"/>
    </row>
    <row r="69" spans="2:20">
      <c r="B69" s="24" t="s">
        <v>24</v>
      </c>
      <c r="C69" s="25"/>
      <c r="H69" s="25"/>
      <c r="N69" s="2"/>
      <c r="O69" s="25"/>
      <c r="T69" s="25"/>
    </row>
    <row r="70" spans="2:20">
      <c r="B70" s="4" t="s">
        <v>19</v>
      </c>
      <c r="C70" s="25">
        <f>AVERAGE(C$29:C$52)</f>
        <v>-1.1375</v>
      </c>
      <c r="D70">
        <f>AVERAGE(D$29:D$52)</f>
        <v>-16.974999999999998</v>
      </c>
      <c r="F70">
        <f>AVERAGE(F$29:F$52)</f>
        <v>-8.2083333333333331E-3</v>
      </c>
      <c r="G70">
        <f>AVERAGE(G$29:G$52)</f>
        <v>-1.6291666666666664</v>
      </c>
      <c r="H70" s="25"/>
      <c r="I70" s="1">
        <f>AVERAGE(I$29:I$52)</f>
        <v>-1.5016666666666667</v>
      </c>
      <c r="J70">
        <f>AVERAGE(J$29:J$52)</f>
        <v>-19.145833333333332</v>
      </c>
      <c r="L70">
        <f>AVERAGE(L$29:L$52)</f>
        <v>-2.9791666666666661E-2</v>
      </c>
      <c r="M70">
        <f>AVERAGE(M$29:M$52)</f>
        <v>-13.575000000000001</v>
      </c>
      <c r="N70" s="2"/>
      <c r="O70" s="25">
        <f>AVERAGE(O$29:O$52)</f>
        <v>-1.5574999999999999</v>
      </c>
      <c r="P70">
        <f>AVERAGE(P$29:P$52)</f>
        <v>-21.491666666666664</v>
      </c>
      <c r="R70">
        <f>AVERAGE(R$29:R$52)</f>
        <v>-3.2833333333333332E-2</v>
      </c>
      <c r="S70">
        <f>AVERAGE(S$29:S$52)</f>
        <v>-15.391666666666667</v>
      </c>
      <c r="T70" s="25"/>
    </row>
    <row r="71" spans="2:20">
      <c r="B71" s="4" t="s">
        <v>20</v>
      </c>
      <c r="C71" s="25">
        <f>MEDIAN(C$29:C$52)</f>
        <v>-0.09</v>
      </c>
      <c r="D71">
        <f>MEDIAN(D$29:D$52)</f>
        <v>-7.65</v>
      </c>
      <c r="F71">
        <f>MEDIAN(F$29:F$52)</f>
        <v>-2.5000000000000001E-3</v>
      </c>
      <c r="G71">
        <f>MEDIAN(G$29:G$52)</f>
        <v>-2.2000000000000002</v>
      </c>
      <c r="H71" s="25"/>
      <c r="I71" s="1">
        <f>MEDIAN(I$29:I$52)</f>
        <v>-0.06</v>
      </c>
      <c r="J71">
        <f>MEDIAN(J$29:J$52)</f>
        <v>-6.4</v>
      </c>
      <c r="L71">
        <f>MEDIAN(L$29:L$52)</f>
        <v>-1.2E-2</v>
      </c>
      <c r="M71">
        <f>MEDIAN(M$29:M$52)</f>
        <v>-10.850000000000001</v>
      </c>
      <c r="N71" s="2"/>
      <c r="O71" s="25">
        <f>MEDIAN(O$29:O$52)</f>
        <v>-8.4999999999999992E-2</v>
      </c>
      <c r="P71">
        <f>MEDIAN(P$29:P$52)</f>
        <v>-9.1999999999999993</v>
      </c>
      <c r="R71">
        <f>MEDIAN(R$29:R$52)</f>
        <v>-1.9E-2</v>
      </c>
      <c r="S71">
        <f>MEDIAN(S$29:S$52)</f>
        <v>-18.100000000000001</v>
      </c>
      <c r="T71" s="25"/>
    </row>
    <row r="72" spans="2:20">
      <c r="B72" s="4" t="s">
        <v>21</v>
      </c>
      <c r="C72" s="25">
        <f>STDEV(C$29:C$52)</f>
        <v>2.2533438920085356</v>
      </c>
      <c r="D72">
        <f>STDEV(D$29:D$52)</f>
        <v>36.192291396397373</v>
      </c>
      <c r="F72">
        <f>STDEV(F$29:F$52)</f>
        <v>4.3902044289003482E-2</v>
      </c>
      <c r="G72">
        <f>STDEV(G$29:G$52)</f>
        <v>30.403710859991598</v>
      </c>
      <c r="H72" s="25"/>
      <c r="I72" s="1">
        <f>STDEV(I$29:I$52)</f>
        <v>2.4226102822596425</v>
      </c>
      <c r="J72">
        <f>STDEV(J$29:J$52)</f>
        <v>38.395402568612269</v>
      </c>
      <c r="L72">
        <f>STDEV(L$29:L$52)</f>
        <v>4.9307358271460308E-2</v>
      </c>
      <c r="M72">
        <f>STDEV(M$29:M$52)</f>
        <v>27.294389453735246</v>
      </c>
      <c r="N72" s="2"/>
      <c r="O72" s="25">
        <f>STDEV(O$29:O$52)</f>
        <v>2.4603609668007094</v>
      </c>
      <c r="P72">
        <f>STDEV(P$29:P$52)</f>
        <v>38.450803312314804</v>
      </c>
      <c r="R72">
        <f>STDEV(R$29:R$52)</f>
        <v>5.0693166220401695E-2</v>
      </c>
      <c r="S72">
        <f>STDEV(S$29:S$52)</f>
        <v>27.154148000318266</v>
      </c>
      <c r="T72" s="25"/>
    </row>
    <row r="73" spans="2:20">
      <c r="B73" s="4" t="s">
        <v>22</v>
      </c>
      <c r="C73" s="25">
        <f>COUNTIF(C$29:C$52, "&lt;0")</f>
        <v>15</v>
      </c>
      <c r="D73">
        <f>COUNTIF(D$29:D$52, "&lt;0")</f>
        <v>15</v>
      </c>
      <c r="F73">
        <f>COUNTIF(F$29:F$52, "&lt;0")</f>
        <v>14</v>
      </c>
      <c r="G73">
        <f>COUNTIF(G$29:G$52, "&lt;0")</f>
        <v>14</v>
      </c>
      <c r="H73" s="25"/>
      <c r="I73" s="1">
        <f>COUNTIF(I$29:I$52, "&lt;0")</f>
        <v>14</v>
      </c>
      <c r="J73">
        <f>COUNTIF(J$29:J$52, "&lt;0")</f>
        <v>14</v>
      </c>
      <c r="L73">
        <f>COUNTIF(L$29:L$52, "&lt;0")</f>
        <v>18</v>
      </c>
      <c r="M73">
        <f>COUNTIF(M$29:M$52, "&lt;0")</f>
        <v>18</v>
      </c>
      <c r="N73" s="2"/>
      <c r="O73" s="25">
        <f>COUNTIF(O$29:O$52, "&lt;0")</f>
        <v>15</v>
      </c>
      <c r="P73">
        <f>COUNTIF(P$29:P$52, "&lt;0")</f>
        <v>15</v>
      </c>
      <c r="R73">
        <f>COUNTIF(R$29:R$52, "&lt;0")</f>
        <v>17</v>
      </c>
      <c r="S73">
        <f>COUNTIF(S$29:S$52, "&lt;0")</f>
        <v>17</v>
      </c>
      <c r="T73" s="25"/>
    </row>
    <row r="74" spans="2:20">
      <c r="C74" s="25"/>
      <c r="H74" s="25"/>
      <c r="N74" s="2"/>
      <c r="O74" s="25"/>
      <c r="T74" s="25"/>
    </row>
    <row r="75" spans="2:20">
      <c r="C75" s="25"/>
      <c r="H75" s="25"/>
      <c r="N75" s="2"/>
      <c r="O75" s="25"/>
      <c r="T75" s="25"/>
    </row>
    <row r="76" spans="2:20">
      <c r="B76" s="19" t="s">
        <v>25</v>
      </c>
      <c r="C76" s="26" t="s">
        <v>26</v>
      </c>
      <c r="D76" s="20"/>
      <c r="E76" s="21"/>
      <c r="F76" s="21"/>
      <c r="G76" s="21"/>
      <c r="H76" s="28"/>
      <c r="I76" s="22"/>
      <c r="J76" s="21"/>
      <c r="K76" s="21"/>
      <c r="L76" s="21"/>
      <c r="M76" s="21"/>
      <c r="N76" s="23"/>
      <c r="O76" s="28"/>
      <c r="P76" s="21"/>
      <c r="Q76" s="21"/>
      <c r="R76" s="21"/>
      <c r="S76" s="21"/>
      <c r="T76" s="28"/>
    </row>
    <row r="77" spans="2:20">
      <c r="B77" s="4" t="s">
        <v>19</v>
      </c>
      <c r="C77" s="25">
        <f>AVERAGE(C$5:C$52,I$5:I$52,O$5:O$52)</f>
        <v>-0.73777777777777787</v>
      </c>
      <c r="D77">
        <f>AVERAGE(D$5:D$52,J$5:J$52,P$5:P$52)</f>
        <v>-10.093750000000002</v>
      </c>
      <c r="F77">
        <f>AVERAGE(F$5:F$52,L$5:L$52,R$5:R$52)</f>
        <v>-1.9375000000000007E-2</v>
      </c>
      <c r="G77">
        <f>AVERAGE(G$5:G$52,M$5:M$52,S$5:S$52)</f>
        <v>-9.0729166666666643</v>
      </c>
      <c r="H77" s="25"/>
      <c r="N77" s="2"/>
      <c r="O77" s="25"/>
      <c r="T77" s="25"/>
    </row>
    <row r="78" spans="2:20">
      <c r="B78" s="4" t="s">
        <v>20</v>
      </c>
      <c r="C78" s="25">
        <f>MEDIAN(C$5:C$52,I$5:I$52,O$5:O$52)</f>
        <v>-5.5E-2</v>
      </c>
      <c r="D78">
        <f>MEDIAN(D$5:D$52,J$5:J$52,P$5:P$52)</f>
        <v>-5.55</v>
      </c>
      <c r="F78">
        <f>MEDIAN(F$5:F$52,L$5:L$52,R$5:R$52)</f>
        <v>-1.15E-2</v>
      </c>
      <c r="G78">
        <f>MEDIAN(G$5:G$52,M$5:M$52,S$5:S$52)</f>
        <v>-8.85</v>
      </c>
      <c r="H78" s="25"/>
      <c r="N78" s="2"/>
      <c r="O78" s="25"/>
      <c r="T78" s="25"/>
    </row>
    <row r="79" spans="2:20">
      <c r="B79" s="4" t="s">
        <v>21</v>
      </c>
      <c r="C79" s="25">
        <f>STDEV(C$5:C$52,I$5:I$52,O$5:O$52)</f>
        <v>1.8101576040970997</v>
      </c>
      <c r="D79">
        <f>STDEV(D$5:D$52,J$5:J$52,P$5:P$52)</f>
        <v>30.812848602263536</v>
      </c>
      <c r="F79">
        <f>STDEV(F$5:F$52,L$5:L$52,R$5:R$52)</f>
        <v>4.2250149997664799E-2</v>
      </c>
      <c r="G79">
        <f>STDEV(G$5:G$52,M$5:M$52,S$5:S$52)</f>
        <v>25.886790158694442</v>
      </c>
      <c r="H79" s="25"/>
      <c r="N79" s="2"/>
      <c r="O79" s="25"/>
      <c r="T79" s="25"/>
    </row>
    <row r="80" spans="2:20">
      <c r="B80" s="4" t="s">
        <v>22</v>
      </c>
      <c r="C80" s="25">
        <f>COUNTIF(C$5:C$52, "&lt;0")+COUNTIF(I$5:I$52, "&lt;0")+COUNTIF(O$5:O$52, "&lt;0")</f>
        <v>85</v>
      </c>
      <c r="D80">
        <f>COUNTIF(D$5:D$52, "&lt;0")+COUNTIF(J$5:J$52, "&lt;0")+COUNTIF(P$5:P$52, "&lt;0")</f>
        <v>85</v>
      </c>
      <c r="F80">
        <f>COUNTIF(F$5:F$52, "&lt;0")+COUNTIF(L$5:L$52, "&lt;0")+COUNTIF(R$5:R$52, "&lt;0")</f>
        <v>102</v>
      </c>
      <c r="G80">
        <f>COUNTIF(G$5:G$52, "&lt;0")+COUNTIF(M$5:M$52, "&lt;0")+COUNTIF(S$5:S$52, "&lt;0")</f>
        <v>102</v>
      </c>
      <c r="H80" s="25"/>
      <c r="N80" s="2"/>
      <c r="O80" s="25"/>
      <c r="T80" s="25"/>
    </row>
    <row r="81" spans="2:20">
      <c r="C81" s="25"/>
      <c r="H81" s="25"/>
      <c r="N81" s="2"/>
      <c r="O81" s="25"/>
      <c r="T81" s="25"/>
    </row>
    <row r="82" spans="2:20">
      <c r="C82" s="27" t="s">
        <v>27</v>
      </c>
      <c r="H82" s="25"/>
      <c r="N82" s="2"/>
      <c r="O82" s="25"/>
      <c r="T82" s="25"/>
    </row>
    <row r="83" spans="2:20">
      <c r="B83" s="4" t="s">
        <v>19</v>
      </c>
      <c r="C83" s="25" cm="1">
        <f t="array" ref="C83">AVERAGE(ABS(C$5:C$52),ABS(I$5:I$52),ABS(O$5:O$52))</f>
        <v>0.90972222222222221</v>
      </c>
      <c r="D83" cm="1">
        <f t="array" ref="D83">AVERAGE(ABS(D$5:D$52),ABS(J$5:J$52),ABS(P$5:P$52))</f>
        <v>22.934027777777768</v>
      </c>
      <c r="F83" cm="1">
        <f t="array" ref="F83">AVERAGE(ABS(F$5:F$52),ABS(L$5:L$52),ABS(R$5:R$52))</f>
        <v>3.1208333333333331E-2</v>
      </c>
      <c r="G83" cm="1">
        <f t="array" ref="G83">AVERAGE(ABS(G$5:G$52),ABS(M$5:M$52),ABS(S$5:S$52))</f>
        <v>21.292361111111106</v>
      </c>
      <c r="H83" s="25"/>
      <c r="N83" s="2"/>
      <c r="O83" s="25"/>
      <c r="T83" s="25"/>
    </row>
    <row r="84" spans="2:20">
      <c r="B84" s="4" t="s">
        <v>20</v>
      </c>
      <c r="C84" s="25" cm="1">
        <f t="array" ref="C84">MEDIAN(ABS(C$5:C$52),ABS(I$5:I$52),ABS(O$5:O$52))</f>
        <v>0.17</v>
      </c>
      <c r="D84" cm="1">
        <f t="array" ref="D84">MEDIAN(ABS(D$5:D$52),ABS(J$5:J$52),ABS(P$5:P$52))</f>
        <v>14.95</v>
      </c>
      <c r="F84" cm="1">
        <f t="array" ref="F84">MEDIAN(ABS(F$5:F$52),ABS(L$5:L$52),ABS(R$5:R$52))</f>
        <v>2.1000000000000001E-2</v>
      </c>
      <c r="G84" cm="1">
        <f t="array" ref="G84">MEDIAN(ABS(G$5:G$52),ABS(M$5:M$52),ABS(S$5:S$52))</f>
        <v>18.399999999999999</v>
      </c>
      <c r="H84" s="25"/>
      <c r="N84" s="2"/>
      <c r="O84" s="25"/>
      <c r="T84" s="25"/>
    </row>
    <row r="85" spans="2:20">
      <c r="B85" s="4" t="s">
        <v>21</v>
      </c>
      <c r="C85" s="25" cm="1">
        <f t="array" ref="C85">STDEV(ABS(C$5:C$52),ABS(I$5:I$52),ABS(O$5:O$52))</f>
        <v>1.729569631761356</v>
      </c>
      <c r="D85" cm="1">
        <f t="array" ref="D85">STDEV(ABS(D$5:D$52),ABS(J$5:J$52),ABS(P$5:P$52))</f>
        <v>22.855637437720656</v>
      </c>
      <c r="F85" cm="1">
        <f t="array" ref="F85">STDEV(ABS(F$5:F$52),ABS(L$5:L$52),ABS(R$5:R$52))</f>
        <v>3.4384879381349154E-2</v>
      </c>
      <c r="G85" cm="1">
        <f t="array" ref="G85">STDEV(ABS(G$5:G$52),ABS(M$5:M$52),ABS(S$5:S$52))</f>
        <v>17.218720824547965</v>
      </c>
      <c r="H85" s="25"/>
      <c r="N85" s="2"/>
      <c r="O85" s="25"/>
      <c r="T85" s="25"/>
    </row>
    <row r="86" spans="2:20">
      <c r="C86" s="25"/>
      <c r="H86" s="25"/>
      <c r="N86" s="2"/>
      <c r="O86" s="25"/>
      <c r="T86" s="25"/>
    </row>
    <row r="87" spans="2:20">
      <c r="C87" s="25"/>
      <c r="H87" s="25"/>
      <c r="N87" s="2"/>
      <c r="O87" s="25"/>
      <c r="T87" s="25"/>
    </row>
    <row r="88" spans="2:20">
      <c r="B88" s="19" t="s">
        <v>23</v>
      </c>
      <c r="C88" s="26" t="s">
        <v>26</v>
      </c>
      <c r="D88" s="21"/>
      <c r="E88" s="21"/>
      <c r="F88" s="21"/>
      <c r="G88" s="21"/>
      <c r="H88" s="28"/>
      <c r="I88" s="22"/>
      <c r="J88" s="21"/>
      <c r="K88" s="21"/>
      <c r="L88" s="21"/>
      <c r="M88" s="21"/>
      <c r="N88" s="23"/>
      <c r="O88" s="28"/>
      <c r="P88" s="21"/>
      <c r="Q88" s="21"/>
      <c r="R88" s="21"/>
      <c r="S88" s="21"/>
      <c r="T88" s="28"/>
    </row>
    <row r="89" spans="2:20">
      <c r="B89" s="4" t="s">
        <v>19</v>
      </c>
      <c r="C89" s="25">
        <f>AVERAGE(C$5:C$28,I$5:I$28,O$5:O$28)</f>
        <v>-7.6666666666666647E-2</v>
      </c>
      <c r="D89">
        <f>AVERAGE(D$5:D$28,J$5:J$28,P$5:P$28)</f>
        <v>-0.98333333333333373</v>
      </c>
      <c r="F89">
        <f>AVERAGE(F$5:F$28,L$5:L$28,R$5:R$28)</f>
        <v>-1.5138888888888887E-2</v>
      </c>
      <c r="G89">
        <f>AVERAGE(G$5:G$28,M$5:M$28,S$5:S$28)</f>
        <v>-7.9472222222222211</v>
      </c>
      <c r="H89" s="25"/>
      <c r="N89" s="2"/>
      <c r="O89" s="25"/>
      <c r="T89" s="25"/>
    </row>
    <row r="90" spans="2:20">
      <c r="B90" s="4" t="s">
        <v>20</v>
      </c>
      <c r="C90" s="25">
        <f>MEDIAN(C$5:C$28,I$5:I$28,O$5:O$28)</f>
        <v>-0.03</v>
      </c>
      <c r="D90">
        <f>MEDIAN(D$5:D$28,J$5:J$28,P$5:P$28)</f>
        <v>-2.5499999999999998</v>
      </c>
      <c r="F90">
        <f>MEDIAN(F$5:F$28,L$5:L$28,R$5:R$28)</f>
        <v>-1.2500000000000001E-2</v>
      </c>
      <c r="G90">
        <f>MEDIAN(G$5:G$28,M$5:M$28,S$5:S$28)</f>
        <v>-9.6999999999999993</v>
      </c>
      <c r="H90" s="25"/>
      <c r="N90" s="2"/>
      <c r="O90" s="25"/>
      <c r="T90" s="25"/>
    </row>
    <row r="91" spans="2:20">
      <c r="B91" s="4" t="s">
        <v>21</v>
      </c>
      <c r="C91" s="25">
        <f>STDEV(C$5:C$28,I$5:I$28,O$5:O$28)</f>
        <v>0.41332727543644926</v>
      </c>
      <c r="D91">
        <f>STDEV(D$5:D$28,J$5:J$28,P$5:P$28)</f>
        <v>18.963686573309108</v>
      </c>
      <c r="F91">
        <f>STDEV(F$5:F$28,L$5:L$28,R$5:R$28)</f>
        <v>3.4534451284313282E-2</v>
      </c>
      <c r="G91">
        <f>STDEV(G$5:G$28,M$5:M$28,S$5:S$28)</f>
        <v>23.014924565130649</v>
      </c>
      <c r="H91" s="25"/>
      <c r="N91" s="2"/>
      <c r="O91" s="25"/>
      <c r="T91" s="25"/>
    </row>
    <row r="92" spans="2:20">
      <c r="B92" s="4" t="s">
        <v>22</v>
      </c>
      <c r="C92" s="25">
        <f>COUNTIF(C$5:C$28, "&lt;0")+COUNTIF(I$5:I$28, "&lt;0")+COUNTIF(O$5:O$28, "&lt;0")</f>
        <v>41</v>
      </c>
      <c r="D92">
        <f>COUNTIF(D$5:D$28, "&lt;0")+COUNTIF(J$5:J$28, "&lt;0")+COUNTIF(P$5:P$28, "&lt;0")</f>
        <v>41</v>
      </c>
      <c r="F92">
        <f>COUNTIF(F$5:F$28, "&lt;0")+COUNTIF(L$5:L$28, "&lt;0")+COUNTIF(R$5:R$28, "&lt;0")</f>
        <v>53</v>
      </c>
      <c r="G92">
        <f>COUNTIF(G$5:G$28, "&lt;0")+COUNTIF(M$5:M$28, "&lt;0")+COUNTIF(S$5:S$28, "&lt;0")</f>
        <v>53</v>
      </c>
      <c r="H92" s="25"/>
      <c r="N92" s="2"/>
      <c r="O92" s="25"/>
      <c r="T92" s="25"/>
    </row>
    <row r="93" spans="2:20">
      <c r="C93" s="25"/>
      <c r="H93" s="25"/>
      <c r="N93" s="2"/>
      <c r="O93" s="25"/>
      <c r="T93" s="25"/>
    </row>
    <row r="94" spans="2:20">
      <c r="C94" s="27" t="s">
        <v>27</v>
      </c>
      <c r="H94" s="25"/>
      <c r="N94" s="2"/>
      <c r="O94" s="25"/>
      <c r="T94" s="25"/>
    </row>
    <row r="95" spans="2:20">
      <c r="B95" s="4" t="s">
        <v>19</v>
      </c>
      <c r="C95" s="25" cm="1">
        <f t="array" ref="C95">AVERAGE(ABS(C$5:C$28),ABS(I$5:I$28),ABS(O$5:O$28))</f>
        <v>0.25944444444444437</v>
      </c>
      <c r="D95" cm="1">
        <f t="array" ref="D95">AVERAGE(ABS(D$5:D$28),ABS(J$5:J$28),ABS(P$5:P$28))</f>
        <v>14.825000000000001</v>
      </c>
      <c r="F95" cm="1">
        <f t="array" ref="F95">AVERAGE(ABS(F$5:F$28),ABS(L$5:L$28),ABS(R$5:R$28))</f>
        <v>2.658333333333331E-2</v>
      </c>
      <c r="G95" cm="1">
        <f t="array" ref="G95">AVERAGE(ABS(G$5:G$28),ABS(M$5:M$28),ABS(S$5:S$28))</f>
        <v>19.350000000000009</v>
      </c>
      <c r="H95" s="25"/>
      <c r="N95" s="2"/>
      <c r="O95" s="25"/>
      <c r="T95" s="25"/>
    </row>
    <row r="96" spans="2:20">
      <c r="B96" s="4" t="s">
        <v>20</v>
      </c>
      <c r="C96" s="25" cm="1">
        <f t="array" ref="C96">MEDIAN(ABS(C$5:C$28),ABS(I$5:I$28),ABS(O$5:O$28))</f>
        <v>0.155</v>
      </c>
      <c r="D96" cm="1">
        <f t="array" ref="D96">MEDIAN(ABS(D$5:D$28),ABS(J$5:J$28),ABS(P$5:P$28))</f>
        <v>12.05</v>
      </c>
      <c r="F96" cm="1">
        <f t="array" ref="F96">MEDIAN(ABS(F$5:F$28),ABS(L$5:L$28),ABS(R$5:R$28))</f>
        <v>2.0500000000000001E-2</v>
      </c>
      <c r="G96" cm="1">
        <f t="array" ref="G96">MEDIAN(ABS(G$5:G$28),ABS(M$5:M$28),ABS(S$5:S$28))</f>
        <v>17.95</v>
      </c>
      <c r="H96" s="25"/>
      <c r="N96" s="2"/>
      <c r="O96" s="25"/>
      <c r="T96" s="25"/>
    </row>
    <row r="97" spans="2:20">
      <c r="B97" s="4" t="s">
        <v>21</v>
      </c>
      <c r="C97" s="25" cm="1">
        <f t="array" ref="C97">STDEV(ABS(C$5:C$28),ABS(I$5:I$28),ABS(O$5:O$28))</f>
        <v>0.32945490143777983</v>
      </c>
      <c r="D97" cm="1">
        <f t="array" ref="D97">STDEV(ABS(D$5:D$28),ABS(J$5:J$28),ABS(P$5:P$28))</f>
        <v>11.735665514593638</v>
      </c>
      <c r="F97" cm="1">
        <f t="array" ref="F97">STDEV(ABS(F$5:F$28),ABS(L$5:L$28),ABS(R$5:R$28))</f>
        <v>2.6616075836940117E-2</v>
      </c>
      <c r="G97" cm="1">
        <f t="array" ref="G97">STDEV(ABS(G$5:G$28),ABS(M$5:M$28),ABS(S$5:S$28))</f>
        <v>14.630057810866488</v>
      </c>
      <c r="H97" s="25"/>
      <c r="N97" s="2"/>
      <c r="O97" s="25"/>
      <c r="T97" s="25"/>
    </row>
    <row r="98" spans="2:20">
      <c r="C98" s="25"/>
      <c r="H98" s="25"/>
      <c r="N98" s="2"/>
      <c r="O98" s="25"/>
      <c r="T98" s="25"/>
    </row>
    <row r="99" spans="2:20">
      <c r="C99" s="25"/>
      <c r="H99" s="25"/>
      <c r="N99" s="2"/>
      <c r="O99" s="25"/>
      <c r="T99" s="25"/>
    </row>
    <row r="100" spans="2:20">
      <c r="B100" s="19" t="s">
        <v>24</v>
      </c>
      <c r="C100" s="26" t="s">
        <v>26</v>
      </c>
      <c r="D100" s="21"/>
      <c r="E100" s="21"/>
      <c r="F100" s="21"/>
      <c r="G100" s="21"/>
      <c r="H100" s="28"/>
      <c r="I100" s="22"/>
      <c r="J100" s="21"/>
      <c r="K100" s="21"/>
      <c r="L100" s="21"/>
      <c r="M100" s="21"/>
      <c r="N100" s="23"/>
      <c r="O100" s="28"/>
      <c r="P100" s="21"/>
      <c r="Q100" s="21"/>
      <c r="R100" s="21"/>
      <c r="S100" s="21"/>
      <c r="T100" s="28"/>
    </row>
    <row r="101" spans="2:20">
      <c r="B101" s="4" t="s">
        <v>19</v>
      </c>
      <c r="C101" s="25">
        <f>AVERAGE(C$29:C$52,I$29:I$52,O$29:O$52)</f>
        <v>-1.3988888888888888</v>
      </c>
      <c r="D101">
        <f>AVERAGE(D$29:D$52,J$29:J$52,P$29:P$52)</f>
        <v>-19.204166666666666</v>
      </c>
      <c r="F101">
        <f>AVERAGE(F$29:F$52,L$29:L$52,R$29:R$52)</f>
        <v>-2.3611111111111104E-2</v>
      </c>
      <c r="G101">
        <f>AVERAGE(G$29:G$52,M$29:M$52,S$29:S$52)</f>
        <v>-10.198611111111115</v>
      </c>
      <c r="H101" s="25"/>
      <c r="N101" s="2"/>
      <c r="O101" s="25"/>
      <c r="T101" s="25"/>
    </row>
    <row r="102" spans="2:20">
      <c r="B102" s="4" t="s">
        <v>20</v>
      </c>
      <c r="C102" s="25">
        <f>MEDIAN(C$29:C$52,I$29:I$52,O$29:O$52)</f>
        <v>-0.08</v>
      </c>
      <c r="D102">
        <f>MEDIAN(D$29:D$52,J$29:J$52,P$29:P$52)</f>
        <v>-7.4</v>
      </c>
      <c r="F102">
        <f>MEDIAN(F$29:F$52,L$29:L$52,R$29:R$52)</f>
        <v>-1.0499999999999999E-2</v>
      </c>
      <c r="G102">
        <f>MEDIAN(G$29:G$52,M$29:M$52,S$29:S$52)</f>
        <v>-8.15</v>
      </c>
      <c r="H102" s="25"/>
      <c r="N102" s="2"/>
      <c r="O102" s="25"/>
      <c r="T102" s="25"/>
    </row>
    <row r="103" spans="2:20">
      <c r="B103" s="4" t="s">
        <v>21</v>
      </c>
      <c r="C103" s="25">
        <f>STDEV(C$29:C$52,I$29:I$52,O$29:O$52)</f>
        <v>2.3541886886667851</v>
      </c>
      <c r="D103">
        <f>STDEV(D$29:D$52,J$29:J$52,P$29:P$52)</f>
        <v>37.205869737955943</v>
      </c>
      <c r="F103">
        <f>STDEV(F$29:F$52,L$29:L$52,R$29:R$52)</f>
        <v>4.8644312828726756E-2</v>
      </c>
      <c r="G103">
        <f>STDEV(G$29:G$52,M$29:M$52,S$29:S$52)</f>
        <v>28.590791845024313</v>
      </c>
      <c r="H103" s="25"/>
      <c r="N103" s="2"/>
      <c r="O103" s="25"/>
      <c r="T103" s="25"/>
    </row>
    <row r="104" spans="2:20">
      <c r="B104" s="4" t="s">
        <v>22</v>
      </c>
      <c r="C104" s="25">
        <f>COUNTIF(C$29:C$52, "&lt;0")+COUNTIF(I$29:I$52, "&lt;0")+COUNTIF(O$29:O$52, "&lt;0")</f>
        <v>44</v>
      </c>
      <c r="D104">
        <f>COUNTIF(D$29:D$52, "&lt;0")+COUNTIF(J$29:J$52, "&lt;0")+COUNTIF(P$29:P$52, "&lt;0")</f>
        <v>44</v>
      </c>
      <c r="F104">
        <f>COUNTIF(F$29:F$52, "&lt;0")+COUNTIF(L$29:L$52, "&lt;0")+COUNTIF(R$29:R$52, "&lt;0")</f>
        <v>49</v>
      </c>
      <c r="G104">
        <f>COUNTIF(G$29:G$52, "&lt;0")+COUNTIF(M$29:M$52, "&lt;0")+COUNTIF(S$29:S$52, "&lt;0")</f>
        <v>49</v>
      </c>
      <c r="H104" s="25"/>
      <c r="N104" s="2"/>
      <c r="O104" s="25"/>
      <c r="T104" s="25"/>
    </row>
    <row r="105" spans="2:20">
      <c r="C105" s="25"/>
      <c r="H105" s="25"/>
      <c r="N105" s="2"/>
      <c r="O105" s="25"/>
      <c r="T105" s="25"/>
    </row>
    <row r="106" spans="2:20">
      <c r="C106" s="27" t="s">
        <v>27</v>
      </c>
      <c r="H106" s="25"/>
      <c r="N106" s="2"/>
      <c r="O106" s="25"/>
      <c r="T106" s="25"/>
    </row>
    <row r="107" spans="2:20">
      <c r="B107" s="4" t="s">
        <v>19</v>
      </c>
      <c r="C107" s="25" cm="1">
        <f t="array" ref="C107">AVERAGE(ABS(C$29:C$52),ABS(I$29:I$52),ABS(O$29:O$52))</f>
        <v>1.56</v>
      </c>
      <c r="D107" cm="1">
        <f t="array" ref="D107">AVERAGE(ABS(D$29:D$52),ABS(J$29:J$52),ABS(P$29:P$52))</f>
        <v>31.043055555555554</v>
      </c>
      <c r="F107" cm="1">
        <f t="array" ref="F107">AVERAGE(ABS(F$29:F$52),ABS(L$29:L$52),ABS(R$29:R$52))</f>
        <v>3.5833333333333328E-2</v>
      </c>
      <c r="G107" cm="1">
        <f t="array" ref="G107">AVERAGE(ABS(G$29:G$52),ABS(M$29:M$52),ABS(S$29:S$52))</f>
        <v>23.234722222222214</v>
      </c>
      <c r="H107" s="25"/>
      <c r="N107" s="2"/>
      <c r="O107" s="25"/>
      <c r="T107" s="25"/>
    </row>
    <row r="108" spans="2:20">
      <c r="B108" s="4" t="s">
        <v>20</v>
      </c>
      <c r="C108" s="25" cm="1">
        <f t="array" ref="C108">MEDIAN(ABS(C$29:C$52),ABS(I$29:I$52),ABS(O$29:O$52))</f>
        <v>0.23499999999999999</v>
      </c>
      <c r="D108" cm="1">
        <f t="array" ref="D108">MEDIAN(ABS(D$29:D$52),ABS(J$29:J$52),ABS(P$29:P$52))</f>
        <v>21.85</v>
      </c>
      <c r="F108" cm="1">
        <f t="array" ref="F108">MEDIAN(ABS(F$29:F$52),ABS(L$29:L$52),ABS(R$29:R$52))</f>
        <v>2.1000000000000001E-2</v>
      </c>
      <c r="G108" cm="1">
        <f t="array" ref="G108">MEDIAN(ABS(G$29:G$52),ABS(M$29:M$52),ABS(S$29:S$52))</f>
        <v>19.05</v>
      </c>
      <c r="H108" s="25"/>
      <c r="N108" s="2"/>
      <c r="O108" s="25"/>
      <c r="T108" s="25"/>
    </row>
    <row r="109" spans="2:20">
      <c r="B109" s="4" t="s">
        <v>21</v>
      </c>
      <c r="C109" s="25" cm="1">
        <f t="array" ref="C109">STDEV(ABS(C$29:C$52),ABS(I$29:I$52),ABS(O$29:O$52))</f>
        <v>2.2491732440366046</v>
      </c>
      <c r="D109" cm="1">
        <f t="array" ref="D109">STDEV(ABS(D$29:D$52),ABS(J$29:J$52),ABS(P$29:P$52))</f>
        <v>27.946860169775466</v>
      </c>
      <c r="F109" cm="1">
        <f t="array" ref="F109">STDEV(ABS(F$29:F$52),ABS(L$29:L$52),ABS(R$29:R$52))</f>
        <v>4.0366978556073282E-2</v>
      </c>
      <c r="G109" cm="1">
        <f t="array" ref="G109">STDEV(ABS(G$29:G$52),ABS(M$29:M$52),ABS(S$29:S$52))</f>
        <v>19.37663875648246</v>
      </c>
      <c r="H109" s="25"/>
      <c r="N109" s="2"/>
      <c r="O109" s="25"/>
      <c r="T109" s="25"/>
    </row>
  </sheetData>
  <mergeCells count="10">
    <mergeCell ref="C1:T1"/>
    <mergeCell ref="C2:H2"/>
    <mergeCell ref="I2:N2"/>
    <mergeCell ref="O2:T2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2026-05-20T15:36:14Z</dcterms:created>
  <dcterms:modified xsi:type="dcterms:W3CDTF">2026-05-21T21:27:26Z</dcterms:modified>
  <cp:category/>
  <cp:contentStatus/>
</cp:coreProperties>
</file>