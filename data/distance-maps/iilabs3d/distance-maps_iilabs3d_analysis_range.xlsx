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0" documentId="8_{556722B6-D267-48FC-87AE-FB335625EBFF}" xr6:coauthVersionLast="47" xr6:coauthVersionMax="47" xr10:uidLastSave="{00000000-0000-0000-0000-000000000000}"/>
  <bookViews>
    <workbookView xWindow="240" yWindow="105" windowWidth="14805" windowHeight="8010" firstSheet="2" activeTab="5" xr2:uid="{00000000-000D-0000-FFFF-FFFF00000000}"/>
  </bookViews>
  <sheets>
    <sheet name="dmap p2p (M0) range" sheetId="11" r:id="rId1"/>
    <sheet name="dmap p2pl (M0) range" sheetId="16" r:id="rId2"/>
    <sheet name="icp p2p (M0) range" sheetId="15" r:id="rId3"/>
    <sheet name="icp p2pl (M0) range" sheetId="14" r:id="rId4"/>
    <sheet name="dmap p2p (M1) range" sheetId="13" r:id="rId5"/>
    <sheet name="dmap p2pl (M2) range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3" i="16" l="1"/>
  <c r="L73" i="16"/>
  <c r="J73" i="16"/>
  <c r="I73" i="16"/>
  <c r="G73" i="16"/>
  <c r="F73" i="16"/>
  <c r="D73" i="16"/>
  <c r="C73" i="16"/>
  <c r="M72" i="16"/>
  <c r="L72" i="16"/>
  <c r="J72" i="16"/>
  <c r="I72" i="16"/>
  <c r="G72" i="16"/>
  <c r="F72" i="16"/>
  <c r="D72" i="16"/>
  <c r="C72" i="16"/>
  <c r="M71" i="16"/>
  <c r="L71" i="16"/>
  <c r="J71" i="16"/>
  <c r="I71" i="16"/>
  <c r="G71" i="16"/>
  <c r="F71" i="16"/>
  <c r="D71" i="16"/>
  <c r="C71" i="16"/>
  <c r="M70" i="16"/>
  <c r="L70" i="16"/>
  <c r="J70" i="16"/>
  <c r="I70" i="16"/>
  <c r="G70" i="16"/>
  <c r="F70" i="16"/>
  <c r="D70" i="16"/>
  <c r="C70" i="16"/>
  <c r="M66" i="16"/>
  <c r="L66" i="16"/>
  <c r="J66" i="16"/>
  <c r="I66" i="16"/>
  <c r="G66" i="16"/>
  <c r="F66" i="16"/>
  <c r="D66" i="16"/>
  <c r="C66" i="16"/>
  <c r="M65" i="16"/>
  <c r="L65" i="16"/>
  <c r="J65" i="16"/>
  <c r="I65" i="16"/>
  <c r="G65" i="16"/>
  <c r="F65" i="16"/>
  <c r="D65" i="16"/>
  <c r="C65" i="16"/>
  <c r="M64" i="16"/>
  <c r="L64" i="16"/>
  <c r="J64" i="16"/>
  <c r="I64" i="16"/>
  <c r="G64" i="16"/>
  <c r="F64" i="16"/>
  <c r="D64" i="16"/>
  <c r="C64" i="16"/>
  <c r="M63" i="16"/>
  <c r="L63" i="16"/>
  <c r="J63" i="16"/>
  <c r="I63" i="16"/>
  <c r="G63" i="16"/>
  <c r="F63" i="16"/>
  <c r="D63" i="16"/>
  <c r="C63" i="16"/>
  <c r="M59" i="16"/>
  <c r="L59" i="16"/>
  <c r="J59" i="16"/>
  <c r="I59" i="16"/>
  <c r="G59" i="16"/>
  <c r="F59" i="16"/>
  <c r="D59" i="16"/>
  <c r="C59" i="16"/>
  <c r="M58" i="16"/>
  <c r="L58" i="16"/>
  <c r="J58" i="16"/>
  <c r="I58" i="16"/>
  <c r="G58" i="16"/>
  <c r="F58" i="16"/>
  <c r="D58" i="16"/>
  <c r="C58" i="16"/>
  <c r="M57" i="16"/>
  <c r="L57" i="16"/>
  <c r="J57" i="16"/>
  <c r="I57" i="16"/>
  <c r="G57" i="16"/>
  <c r="F57" i="16"/>
  <c r="D57" i="16"/>
  <c r="C57" i="16"/>
  <c r="M56" i="16"/>
  <c r="L56" i="16"/>
  <c r="J56" i="16"/>
  <c r="I56" i="16"/>
  <c r="G56" i="16"/>
  <c r="F56" i="16"/>
  <c r="D56" i="16"/>
  <c r="C56" i="16"/>
  <c r="N52" i="16"/>
  <c r="K52" i="16"/>
  <c r="H52" i="16"/>
  <c r="E52" i="16"/>
  <c r="N51" i="16"/>
  <c r="K51" i="16"/>
  <c r="H51" i="16"/>
  <c r="E51" i="16"/>
  <c r="N50" i="16"/>
  <c r="K50" i="16"/>
  <c r="H50" i="16"/>
  <c r="E50" i="16"/>
  <c r="N49" i="16"/>
  <c r="K49" i="16"/>
  <c r="H49" i="16"/>
  <c r="E49" i="16"/>
  <c r="N48" i="16"/>
  <c r="K48" i="16"/>
  <c r="H48" i="16"/>
  <c r="E48" i="16"/>
  <c r="N47" i="16"/>
  <c r="K47" i="16"/>
  <c r="H47" i="16"/>
  <c r="E47" i="16"/>
  <c r="N46" i="16"/>
  <c r="K46" i="16"/>
  <c r="H46" i="16"/>
  <c r="E46" i="16"/>
  <c r="N45" i="16"/>
  <c r="K45" i="16"/>
  <c r="H45" i="16"/>
  <c r="E45" i="16"/>
  <c r="N44" i="16"/>
  <c r="K44" i="16"/>
  <c r="H44" i="16"/>
  <c r="E44" i="16"/>
  <c r="N43" i="16"/>
  <c r="K43" i="16"/>
  <c r="H43" i="16"/>
  <c r="E43" i="16"/>
  <c r="N42" i="16"/>
  <c r="K42" i="16"/>
  <c r="H42" i="16"/>
  <c r="E42" i="16"/>
  <c r="N41" i="16"/>
  <c r="K41" i="16"/>
  <c r="H41" i="16"/>
  <c r="E41" i="16"/>
  <c r="N40" i="16"/>
  <c r="K40" i="16"/>
  <c r="H40" i="16"/>
  <c r="E40" i="16"/>
  <c r="N39" i="16"/>
  <c r="K39" i="16"/>
  <c r="H39" i="16"/>
  <c r="E39" i="16"/>
  <c r="N38" i="16"/>
  <c r="K38" i="16"/>
  <c r="H38" i="16"/>
  <c r="E38" i="16"/>
  <c r="N37" i="16"/>
  <c r="K37" i="16"/>
  <c r="H37" i="16"/>
  <c r="E37" i="16"/>
  <c r="N36" i="16"/>
  <c r="K36" i="16"/>
  <c r="H36" i="16"/>
  <c r="E36" i="16"/>
  <c r="N35" i="16"/>
  <c r="K35" i="16"/>
  <c r="H35" i="16"/>
  <c r="E35" i="16"/>
  <c r="N34" i="16"/>
  <c r="K34" i="16"/>
  <c r="H34" i="16"/>
  <c r="E34" i="16"/>
  <c r="N33" i="16"/>
  <c r="K33" i="16"/>
  <c r="H33" i="16"/>
  <c r="E33" i="16"/>
  <c r="N32" i="16"/>
  <c r="K32" i="16"/>
  <c r="H32" i="16"/>
  <c r="E32" i="16"/>
  <c r="N31" i="16"/>
  <c r="K31" i="16"/>
  <c r="H31" i="16"/>
  <c r="E31" i="16"/>
  <c r="N30" i="16"/>
  <c r="K30" i="16"/>
  <c r="H30" i="16"/>
  <c r="E30" i="16"/>
  <c r="N29" i="16"/>
  <c r="K29" i="16"/>
  <c r="H29" i="16"/>
  <c r="E29" i="16"/>
  <c r="N28" i="16"/>
  <c r="K28" i="16"/>
  <c r="H28" i="16"/>
  <c r="E28" i="16"/>
  <c r="N27" i="16"/>
  <c r="K27" i="16"/>
  <c r="H27" i="16"/>
  <c r="E27" i="16"/>
  <c r="N26" i="16"/>
  <c r="K26" i="16"/>
  <c r="H26" i="16"/>
  <c r="E26" i="16"/>
  <c r="N25" i="16"/>
  <c r="K25" i="16"/>
  <c r="H25" i="16"/>
  <c r="E25" i="16"/>
  <c r="N24" i="16"/>
  <c r="K24" i="16"/>
  <c r="H24" i="16"/>
  <c r="E24" i="16"/>
  <c r="N23" i="16"/>
  <c r="K23" i="16"/>
  <c r="H23" i="16"/>
  <c r="E23" i="16"/>
  <c r="N22" i="16"/>
  <c r="K22" i="16"/>
  <c r="H22" i="16"/>
  <c r="E22" i="16"/>
  <c r="N21" i="16"/>
  <c r="K21" i="16"/>
  <c r="H21" i="16"/>
  <c r="E21" i="16"/>
  <c r="N20" i="16"/>
  <c r="K20" i="16"/>
  <c r="H20" i="16"/>
  <c r="E20" i="16"/>
  <c r="N19" i="16"/>
  <c r="K19" i="16"/>
  <c r="H19" i="16"/>
  <c r="E19" i="16"/>
  <c r="N18" i="16"/>
  <c r="K18" i="16"/>
  <c r="H18" i="16"/>
  <c r="E18" i="16"/>
  <c r="N17" i="16"/>
  <c r="K17" i="16"/>
  <c r="H17" i="16"/>
  <c r="E17" i="16"/>
  <c r="N16" i="16"/>
  <c r="K16" i="16"/>
  <c r="H16" i="16"/>
  <c r="E16" i="16"/>
  <c r="N15" i="16"/>
  <c r="K15" i="16"/>
  <c r="H15" i="16"/>
  <c r="E15" i="16"/>
  <c r="N14" i="16"/>
  <c r="K14" i="16"/>
  <c r="H14" i="16"/>
  <c r="E14" i="16"/>
  <c r="N13" i="16"/>
  <c r="K13" i="16"/>
  <c r="H13" i="16"/>
  <c r="E13" i="16"/>
  <c r="N12" i="16"/>
  <c r="K12" i="16"/>
  <c r="H12" i="16"/>
  <c r="E12" i="16"/>
  <c r="N11" i="16"/>
  <c r="K11" i="16"/>
  <c r="H11" i="16"/>
  <c r="E11" i="16"/>
  <c r="N10" i="16"/>
  <c r="K10" i="16"/>
  <c r="H10" i="16"/>
  <c r="E10" i="16"/>
  <c r="N9" i="16"/>
  <c r="K9" i="16"/>
  <c r="H9" i="16"/>
  <c r="E9" i="16"/>
  <c r="N8" i="16"/>
  <c r="K8" i="16"/>
  <c r="H8" i="16"/>
  <c r="E8" i="16"/>
  <c r="N7" i="16"/>
  <c r="K7" i="16"/>
  <c r="H7" i="16"/>
  <c r="E7" i="16"/>
  <c r="N6" i="16"/>
  <c r="K6" i="16"/>
  <c r="H6" i="16"/>
  <c r="E6" i="16"/>
  <c r="N5" i="16"/>
  <c r="K5" i="16"/>
  <c r="H5" i="16"/>
  <c r="E5" i="16"/>
  <c r="M73" i="15"/>
  <c r="L73" i="15"/>
  <c r="J73" i="15"/>
  <c r="I73" i="15"/>
  <c r="G73" i="15"/>
  <c r="F73" i="15"/>
  <c r="D73" i="15"/>
  <c r="C73" i="15"/>
  <c r="M72" i="15"/>
  <c r="L72" i="15"/>
  <c r="J72" i="15"/>
  <c r="I72" i="15"/>
  <c r="G72" i="15"/>
  <c r="F72" i="15"/>
  <c r="D72" i="15"/>
  <c r="C72" i="15"/>
  <c r="M71" i="15"/>
  <c r="L71" i="15"/>
  <c r="J71" i="15"/>
  <c r="I71" i="15"/>
  <c r="G71" i="15"/>
  <c r="F71" i="15"/>
  <c r="D71" i="15"/>
  <c r="C71" i="15"/>
  <c r="M70" i="15"/>
  <c r="L70" i="15"/>
  <c r="J70" i="15"/>
  <c r="I70" i="15"/>
  <c r="G70" i="15"/>
  <c r="F70" i="15"/>
  <c r="D70" i="15"/>
  <c r="C70" i="15"/>
  <c r="M66" i="15"/>
  <c r="L66" i="15"/>
  <c r="J66" i="15"/>
  <c r="I66" i="15"/>
  <c r="G66" i="15"/>
  <c r="F66" i="15"/>
  <c r="D66" i="15"/>
  <c r="C66" i="15"/>
  <c r="M65" i="15"/>
  <c r="L65" i="15"/>
  <c r="J65" i="15"/>
  <c r="I65" i="15"/>
  <c r="G65" i="15"/>
  <c r="F65" i="15"/>
  <c r="D65" i="15"/>
  <c r="C65" i="15"/>
  <c r="M64" i="15"/>
  <c r="L64" i="15"/>
  <c r="J64" i="15"/>
  <c r="I64" i="15"/>
  <c r="G64" i="15"/>
  <c r="F64" i="15"/>
  <c r="D64" i="15"/>
  <c r="C64" i="15"/>
  <c r="M63" i="15"/>
  <c r="L63" i="15"/>
  <c r="J63" i="15"/>
  <c r="I63" i="15"/>
  <c r="G63" i="15"/>
  <c r="F63" i="15"/>
  <c r="D63" i="15"/>
  <c r="C63" i="15"/>
  <c r="M59" i="15"/>
  <c r="L59" i="15"/>
  <c r="J59" i="15"/>
  <c r="I59" i="15"/>
  <c r="G59" i="15"/>
  <c r="F59" i="15"/>
  <c r="D59" i="15"/>
  <c r="C59" i="15"/>
  <c r="M58" i="15"/>
  <c r="L58" i="15"/>
  <c r="J58" i="15"/>
  <c r="I58" i="15"/>
  <c r="G58" i="15"/>
  <c r="F58" i="15"/>
  <c r="D58" i="15"/>
  <c r="C58" i="15"/>
  <c r="M57" i="15"/>
  <c r="L57" i="15"/>
  <c r="J57" i="15"/>
  <c r="I57" i="15"/>
  <c r="G57" i="15"/>
  <c r="F57" i="15"/>
  <c r="D57" i="15"/>
  <c r="C57" i="15"/>
  <c r="M56" i="15"/>
  <c r="L56" i="15"/>
  <c r="J56" i="15"/>
  <c r="I56" i="15"/>
  <c r="G56" i="15"/>
  <c r="F56" i="15"/>
  <c r="D56" i="15"/>
  <c r="C56" i="15"/>
  <c r="N52" i="15"/>
  <c r="K52" i="15"/>
  <c r="H52" i="15"/>
  <c r="E52" i="15"/>
  <c r="N51" i="15"/>
  <c r="K51" i="15"/>
  <c r="H51" i="15"/>
  <c r="E51" i="15"/>
  <c r="N50" i="15"/>
  <c r="K50" i="15"/>
  <c r="H50" i="15"/>
  <c r="E50" i="15"/>
  <c r="N49" i="15"/>
  <c r="K49" i="15"/>
  <c r="H49" i="15"/>
  <c r="E49" i="15"/>
  <c r="N48" i="15"/>
  <c r="K48" i="15"/>
  <c r="H48" i="15"/>
  <c r="E48" i="15"/>
  <c r="N47" i="15"/>
  <c r="K47" i="15"/>
  <c r="H47" i="15"/>
  <c r="E47" i="15"/>
  <c r="N46" i="15"/>
  <c r="K46" i="15"/>
  <c r="H46" i="15"/>
  <c r="E46" i="15"/>
  <c r="N45" i="15"/>
  <c r="K45" i="15"/>
  <c r="H45" i="15"/>
  <c r="E45" i="15"/>
  <c r="N44" i="15"/>
  <c r="K44" i="15"/>
  <c r="H44" i="15"/>
  <c r="E44" i="15"/>
  <c r="N43" i="15"/>
  <c r="K43" i="15"/>
  <c r="H43" i="15"/>
  <c r="E43" i="15"/>
  <c r="N42" i="15"/>
  <c r="K42" i="15"/>
  <c r="H42" i="15"/>
  <c r="E42" i="15"/>
  <c r="N41" i="15"/>
  <c r="K41" i="15"/>
  <c r="H41" i="15"/>
  <c r="E41" i="15"/>
  <c r="N40" i="15"/>
  <c r="K40" i="15"/>
  <c r="H40" i="15"/>
  <c r="E40" i="15"/>
  <c r="N39" i="15"/>
  <c r="K39" i="15"/>
  <c r="H39" i="15"/>
  <c r="E39" i="15"/>
  <c r="N38" i="15"/>
  <c r="K38" i="15"/>
  <c r="H38" i="15"/>
  <c r="E38" i="15"/>
  <c r="N37" i="15"/>
  <c r="K37" i="15"/>
  <c r="H37" i="15"/>
  <c r="E37" i="15"/>
  <c r="N36" i="15"/>
  <c r="K36" i="15"/>
  <c r="H36" i="15"/>
  <c r="E36" i="15"/>
  <c r="N35" i="15"/>
  <c r="K35" i="15"/>
  <c r="H35" i="15"/>
  <c r="E35" i="15"/>
  <c r="N34" i="15"/>
  <c r="K34" i="15"/>
  <c r="H34" i="15"/>
  <c r="E34" i="15"/>
  <c r="N33" i="15"/>
  <c r="K33" i="15"/>
  <c r="H33" i="15"/>
  <c r="E33" i="15"/>
  <c r="N32" i="15"/>
  <c r="K32" i="15"/>
  <c r="H32" i="15"/>
  <c r="E32" i="15"/>
  <c r="N31" i="15"/>
  <c r="K31" i="15"/>
  <c r="H31" i="15"/>
  <c r="E31" i="15"/>
  <c r="N30" i="15"/>
  <c r="K30" i="15"/>
  <c r="H30" i="15"/>
  <c r="E30" i="15"/>
  <c r="N29" i="15"/>
  <c r="K29" i="15"/>
  <c r="H29" i="15"/>
  <c r="E29" i="15"/>
  <c r="N28" i="15"/>
  <c r="K28" i="15"/>
  <c r="H28" i="15"/>
  <c r="E28" i="15"/>
  <c r="N27" i="15"/>
  <c r="K27" i="15"/>
  <c r="H27" i="15"/>
  <c r="E27" i="15"/>
  <c r="N26" i="15"/>
  <c r="K26" i="15"/>
  <c r="H26" i="15"/>
  <c r="E26" i="15"/>
  <c r="N25" i="15"/>
  <c r="K25" i="15"/>
  <c r="H25" i="15"/>
  <c r="E25" i="15"/>
  <c r="N24" i="15"/>
  <c r="K24" i="15"/>
  <c r="H24" i="15"/>
  <c r="E24" i="15"/>
  <c r="N23" i="15"/>
  <c r="K23" i="15"/>
  <c r="H23" i="15"/>
  <c r="E23" i="15"/>
  <c r="N22" i="15"/>
  <c r="K22" i="15"/>
  <c r="H22" i="15"/>
  <c r="E22" i="15"/>
  <c r="N21" i="15"/>
  <c r="K21" i="15"/>
  <c r="H21" i="15"/>
  <c r="E21" i="15"/>
  <c r="N20" i="15"/>
  <c r="K20" i="15"/>
  <c r="H20" i="15"/>
  <c r="E20" i="15"/>
  <c r="N19" i="15"/>
  <c r="K19" i="15"/>
  <c r="H19" i="15"/>
  <c r="E19" i="15"/>
  <c r="N18" i="15"/>
  <c r="K18" i="15"/>
  <c r="H18" i="15"/>
  <c r="E18" i="15"/>
  <c r="N17" i="15"/>
  <c r="K17" i="15"/>
  <c r="H17" i="15"/>
  <c r="E17" i="15"/>
  <c r="N16" i="15"/>
  <c r="K16" i="15"/>
  <c r="H16" i="15"/>
  <c r="E16" i="15"/>
  <c r="N15" i="15"/>
  <c r="K15" i="15"/>
  <c r="H15" i="15"/>
  <c r="E15" i="15"/>
  <c r="N14" i="15"/>
  <c r="K14" i="15"/>
  <c r="H14" i="15"/>
  <c r="E14" i="15"/>
  <c r="N13" i="15"/>
  <c r="K13" i="15"/>
  <c r="H13" i="15"/>
  <c r="E13" i="15"/>
  <c r="N12" i="15"/>
  <c r="K12" i="15"/>
  <c r="H12" i="15"/>
  <c r="E12" i="15"/>
  <c r="N11" i="15"/>
  <c r="K11" i="15"/>
  <c r="H11" i="15"/>
  <c r="E11" i="15"/>
  <c r="N10" i="15"/>
  <c r="K10" i="15"/>
  <c r="H10" i="15"/>
  <c r="E10" i="15"/>
  <c r="N9" i="15"/>
  <c r="K9" i="15"/>
  <c r="H9" i="15"/>
  <c r="E9" i="15"/>
  <c r="N8" i="15"/>
  <c r="K8" i="15"/>
  <c r="H8" i="15"/>
  <c r="E8" i="15"/>
  <c r="N7" i="15"/>
  <c r="K7" i="15"/>
  <c r="H7" i="15"/>
  <c r="E7" i="15"/>
  <c r="N6" i="15"/>
  <c r="K6" i="15"/>
  <c r="H6" i="15"/>
  <c r="E6" i="15"/>
  <c r="N5" i="15"/>
  <c r="K5" i="15"/>
  <c r="H5" i="15"/>
  <c r="E5" i="15"/>
  <c r="M73" i="14"/>
  <c r="L73" i="14"/>
  <c r="J73" i="14"/>
  <c r="I73" i="14"/>
  <c r="G73" i="14"/>
  <c r="F73" i="14"/>
  <c r="D73" i="14"/>
  <c r="C73" i="14"/>
  <c r="M72" i="14"/>
  <c r="L72" i="14"/>
  <c r="J72" i="14"/>
  <c r="I72" i="14"/>
  <c r="G72" i="14"/>
  <c r="F72" i="14"/>
  <c r="D72" i="14"/>
  <c r="C72" i="14"/>
  <c r="M71" i="14"/>
  <c r="L71" i="14"/>
  <c r="J71" i="14"/>
  <c r="I71" i="14"/>
  <c r="G71" i="14"/>
  <c r="F71" i="14"/>
  <c r="D71" i="14"/>
  <c r="C71" i="14"/>
  <c r="M70" i="14"/>
  <c r="L70" i="14"/>
  <c r="J70" i="14"/>
  <c r="I70" i="14"/>
  <c r="G70" i="14"/>
  <c r="F70" i="14"/>
  <c r="D70" i="14"/>
  <c r="C70" i="14"/>
  <c r="M66" i="14"/>
  <c r="L66" i="14"/>
  <c r="J66" i="14"/>
  <c r="I66" i="14"/>
  <c r="G66" i="14"/>
  <c r="F66" i="14"/>
  <c r="D66" i="14"/>
  <c r="C66" i="14"/>
  <c r="M65" i="14"/>
  <c r="L65" i="14"/>
  <c r="J65" i="14"/>
  <c r="I65" i="14"/>
  <c r="G65" i="14"/>
  <c r="F65" i="14"/>
  <c r="D65" i="14"/>
  <c r="C65" i="14"/>
  <c r="M64" i="14"/>
  <c r="L64" i="14"/>
  <c r="J64" i="14"/>
  <c r="I64" i="14"/>
  <c r="G64" i="14"/>
  <c r="F64" i="14"/>
  <c r="D64" i="14"/>
  <c r="C64" i="14"/>
  <c r="M63" i="14"/>
  <c r="L63" i="14"/>
  <c r="J63" i="14"/>
  <c r="I63" i="14"/>
  <c r="G63" i="14"/>
  <c r="F63" i="14"/>
  <c r="D63" i="14"/>
  <c r="C63" i="14"/>
  <c r="M59" i="14"/>
  <c r="L59" i="14"/>
  <c r="J59" i="14"/>
  <c r="I59" i="14"/>
  <c r="G59" i="14"/>
  <c r="F59" i="14"/>
  <c r="D59" i="14"/>
  <c r="C59" i="14"/>
  <c r="M58" i="14"/>
  <c r="L58" i="14"/>
  <c r="J58" i="14"/>
  <c r="I58" i="14"/>
  <c r="G58" i="14"/>
  <c r="F58" i="14"/>
  <c r="D58" i="14"/>
  <c r="C58" i="14"/>
  <c r="M57" i="14"/>
  <c r="L57" i="14"/>
  <c r="J57" i="14"/>
  <c r="I57" i="14"/>
  <c r="G57" i="14"/>
  <c r="F57" i="14"/>
  <c r="D57" i="14"/>
  <c r="C57" i="14"/>
  <c r="M56" i="14"/>
  <c r="L56" i="14"/>
  <c r="J56" i="14"/>
  <c r="I56" i="14"/>
  <c r="G56" i="14"/>
  <c r="F56" i="14"/>
  <c r="D56" i="14"/>
  <c r="C56" i="14"/>
  <c r="N52" i="14"/>
  <c r="K52" i="14"/>
  <c r="H52" i="14"/>
  <c r="E52" i="14"/>
  <c r="N51" i="14"/>
  <c r="K51" i="14"/>
  <c r="H51" i="14"/>
  <c r="E51" i="14"/>
  <c r="N50" i="14"/>
  <c r="K50" i="14"/>
  <c r="H50" i="14"/>
  <c r="E50" i="14"/>
  <c r="N49" i="14"/>
  <c r="K49" i="14"/>
  <c r="H49" i="14"/>
  <c r="E49" i="14"/>
  <c r="N48" i="14"/>
  <c r="K48" i="14"/>
  <c r="H48" i="14"/>
  <c r="E48" i="14"/>
  <c r="N47" i="14"/>
  <c r="K47" i="14"/>
  <c r="H47" i="14"/>
  <c r="E47" i="14"/>
  <c r="N46" i="14"/>
  <c r="K46" i="14"/>
  <c r="H46" i="14"/>
  <c r="E46" i="14"/>
  <c r="N45" i="14"/>
  <c r="K45" i="14"/>
  <c r="H45" i="14"/>
  <c r="E45" i="14"/>
  <c r="N44" i="14"/>
  <c r="K44" i="14"/>
  <c r="H44" i="14"/>
  <c r="E44" i="14"/>
  <c r="N43" i="14"/>
  <c r="K43" i="14"/>
  <c r="H43" i="14"/>
  <c r="E43" i="14"/>
  <c r="N42" i="14"/>
  <c r="K42" i="14"/>
  <c r="H42" i="14"/>
  <c r="E42" i="14"/>
  <c r="N41" i="14"/>
  <c r="K41" i="14"/>
  <c r="H41" i="14"/>
  <c r="E41" i="14"/>
  <c r="N40" i="14"/>
  <c r="K40" i="14"/>
  <c r="H40" i="14"/>
  <c r="E40" i="14"/>
  <c r="N39" i="14"/>
  <c r="K39" i="14"/>
  <c r="H39" i="14"/>
  <c r="E39" i="14"/>
  <c r="N38" i="14"/>
  <c r="K38" i="14"/>
  <c r="H38" i="14"/>
  <c r="E38" i="14"/>
  <c r="N37" i="14"/>
  <c r="K37" i="14"/>
  <c r="H37" i="14"/>
  <c r="E37" i="14"/>
  <c r="N36" i="14"/>
  <c r="K36" i="14"/>
  <c r="H36" i="14"/>
  <c r="E36" i="14"/>
  <c r="N35" i="14"/>
  <c r="K35" i="14"/>
  <c r="H35" i="14"/>
  <c r="E35" i="14"/>
  <c r="N34" i="14"/>
  <c r="K34" i="14"/>
  <c r="H34" i="14"/>
  <c r="E34" i="14"/>
  <c r="N33" i="14"/>
  <c r="K33" i="14"/>
  <c r="H33" i="14"/>
  <c r="E33" i="14"/>
  <c r="N32" i="14"/>
  <c r="K32" i="14"/>
  <c r="H32" i="14"/>
  <c r="E32" i="14"/>
  <c r="N31" i="14"/>
  <c r="K31" i="14"/>
  <c r="H31" i="14"/>
  <c r="E31" i="14"/>
  <c r="N30" i="14"/>
  <c r="K30" i="14"/>
  <c r="H30" i="14"/>
  <c r="E30" i="14"/>
  <c r="N29" i="14"/>
  <c r="K29" i="14"/>
  <c r="H29" i="14"/>
  <c r="E29" i="14"/>
  <c r="N28" i="14"/>
  <c r="K28" i="14"/>
  <c r="H28" i="14"/>
  <c r="E28" i="14"/>
  <c r="N27" i="14"/>
  <c r="K27" i="14"/>
  <c r="H27" i="14"/>
  <c r="E27" i="14"/>
  <c r="N26" i="14"/>
  <c r="K26" i="14"/>
  <c r="H26" i="14"/>
  <c r="E26" i="14"/>
  <c r="N25" i="14"/>
  <c r="K25" i="14"/>
  <c r="H25" i="14"/>
  <c r="E25" i="14"/>
  <c r="N24" i="14"/>
  <c r="K24" i="14"/>
  <c r="H24" i="14"/>
  <c r="E24" i="14"/>
  <c r="N23" i="14"/>
  <c r="K23" i="14"/>
  <c r="H23" i="14"/>
  <c r="E23" i="14"/>
  <c r="N22" i="14"/>
  <c r="K22" i="14"/>
  <c r="H22" i="14"/>
  <c r="E22" i="14"/>
  <c r="N21" i="14"/>
  <c r="K21" i="14"/>
  <c r="H21" i="14"/>
  <c r="E21" i="14"/>
  <c r="N20" i="14"/>
  <c r="K20" i="14"/>
  <c r="H20" i="14"/>
  <c r="E20" i="14"/>
  <c r="N19" i="14"/>
  <c r="K19" i="14"/>
  <c r="H19" i="14"/>
  <c r="E19" i="14"/>
  <c r="N18" i="14"/>
  <c r="K18" i="14"/>
  <c r="H18" i="14"/>
  <c r="E18" i="14"/>
  <c r="N17" i="14"/>
  <c r="K17" i="14"/>
  <c r="H17" i="14"/>
  <c r="E17" i="14"/>
  <c r="N16" i="14"/>
  <c r="K16" i="14"/>
  <c r="H16" i="14"/>
  <c r="E16" i="14"/>
  <c r="N15" i="14"/>
  <c r="K15" i="14"/>
  <c r="H15" i="14"/>
  <c r="E15" i="14"/>
  <c r="N14" i="14"/>
  <c r="K14" i="14"/>
  <c r="H14" i="14"/>
  <c r="E14" i="14"/>
  <c r="N13" i="14"/>
  <c r="K13" i="14"/>
  <c r="H13" i="14"/>
  <c r="E13" i="14"/>
  <c r="N12" i="14"/>
  <c r="K12" i="14"/>
  <c r="H12" i="14"/>
  <c r="E12" i="14"/>
  <c r="N11" i="14"/>
  <c r="K11" i="14"/>
  <c r="H11" i="14"/>
  <c r="E11" i="14"/>
  <c r="N10" i="14"/>
  <c r="K10" i="14"/>
  <c r="H10" i="14"/>
  <c r="E10" i="14"/>
  <c r="N9" i="14"/>
  <c r="K9" i="14"/>
  <c r="H9" i="14"/>
  <c r="E9" i="14"/>
  <c r="N8" i="14"/>
  <c r="K8" i="14"/>
  <c r="H8" i="14"/>
  <c r="E8" i="14"/>
  <c r="N7" i="14"/>
  <c r="K7" i="14"/>
  <c r="H7" i="14"/>
  <c r="E7" i="14"/>
  <c r="N6" i="14"/>
  <c r="K6" i="14"/>
  <c r="H6" i="14"/>
  <c r="E6" i="14"/>
  <c r="N5" i="14"/>
  <c r="K5" i="14"/>
  <c r="H5" i="14"/>
  <c r="E5" i="14"/>
  <c r="M73" i="13"/>
  <c r="L73" i="13"/>
  <c r="J73" i="13"/>
  <c r="I73" i="13"/>
  <c r="G73" i="13"/>
  <c r="F73" i="13"/>
  <c r="D73" i="13"/>
  <c r="C73" i="13"/>
  <c r="M72" i="13"/>
  <c r="L72" i="13"/>
  <c r="J72" i="13"/>
  <c r="I72" i="13"/>
  <c r="G72" i="13"/>
  <c r="F72" i="13"/>
  <c r="D72" i="13"/>
  <c r="C72" i="13"/>
  <c r="M71" i="13"/>
  <c r="L71" i="13"/>
  <c r="J71" i="13"/>
  <c r="I71" i="13"/>
  <c r="G71" i="13"/>
  <c r="F71" i="13"/>
  <c r="D71" i="13"/>
  <c r="C71" i="13"/>
  <c r="M70" i="13"/>
  <c r="L70" i="13"/>
  <c r="J70" i="13"/>
  <c r="I70" i="13"/>
  <c r="G70" i="13"/>
  <c r="F70" i="13"/>
  <c r="D70" i="13"/>
  <c r="C70" i="13"/>
  <c r="M66" i="13"/>
  <c r="L66" i="13"/>
  <c r="J66" i="13"/>
  <c r="I66" i="13"/>
  <c r="G66" i="13"/>
  <c r="F66" i="13"/>
  <c r="D66" i="13"/>
  <c r="C66" i="13"/>
  <c r="M65" i="13"/>
  <c r="L65" i="13"/>
  <c r="J65" i="13"/>
  <c r="I65" i="13"/>
  <c r="G65" i="13"/>
  <c r="F65" i="13"/>
  <c r="D65" i="13"/>
  <c r="C65" i="13"/>
  <c r="M64" i="13"/>
  <c r="L64" i="13"/>
  <c r="J64" i="13"/>
  <c r="I64" i="13"/>
  <c r="G64" i="13"/>
  <c r="F64" i="13"/>
  <c r="D64" i="13"/>
  <c r="C64" i="13"/>
  <c r="M63" i="13"/>
  <c r="L63" i="13"/>
  <c r="J63" i="13"/>
  <c r="I63" i="13"/>
  <c r="G63" i="13"/>
  <c r="F63" i="13"/>
  <c r="D63" i="13"/>
  <c r="C63" i="13"/>
  <c r="M59" i="13"/>
  <c r="L59" i="13"/>
  <c r="J59" i="13"/>
  <c r="I59" i="13"/>
  <c r="G59" i="13"/>
  <c r="F59" i="13"/>
  <c r="D59" i="13"/>
  <c r="C59" i="13"/>
  <c r="M58" i="13"/>
  <c r="L58" i="13"/>
  <c r="J58" i="13"/>
  <c r="I58" i="13"/>
  <c r="G58" i="13"/>
  <c r="F58" i="13"/>
  <c r="D58" i="13"/>
  <c r="C58" i="13"/>
  <c r="M57" i="13"/>
  <c r="L57" i="13"/>
  <c r="J57" i="13"/>
  <c r="I57" i="13"/>
  <c r="G57" i="13"/>
  <c r="F57" i="13"/>
  <c r="D57" i="13"/>
  <c r="C57" i="13"/>
  <c r="M56" i="13"/>
  <c r="L56" i="13"/>
  <c r="J56" i="13"/>
  <c r="I56" i="13"/>
  <c r="G56" i="13"/>
  <c r="F56" i="13"/>
  <c r="D56" i="13"/>
  <c r="C56" i="13"/>
  <c r="N52" i="13"/>
  <c r="K52" i="13"/>
  <c r="H52" i="13"/>
  <c r="E52" i="13"/>
  <c r="N51" i="13"/>
  <c r="K51" i="13"/>
  <c r="H51" i="13"/>
  <c r="E51" i="13"/>
  <c r="N50" i="13"/>
  <c r="K50" i="13"/>
  <c r="H50" i="13"/>
  <c r="E50" i="13"/>
  <c r="N49" i="13"/>
  <c r="K49" i="13"/>
  <c r="H49" i="13"/>
  <c r="E49" i="13"/>
  <c r="N48" i="13"/>
  <c r="K48" i="13"/>
  <c r="H48" i="13"/>
  <c r="E48" i="13"/>
  <c r="N47" i="13"/>
  <c r="K47" i="13"/>
  <c r="H47" i="13"/>
  <c r="E47" i="13"/>
  <c r="N46" i="13"/>
  <c r="K46" i="13"/>
  <c r="H46" i="13"/>
  <c r="E46" i="13"/>
  <c r="N45" i="13"/>
  <c r="K45" i="13"/>
  <c r="H45" i="13"/>
  <c r="E45" i="13"/>
  <c r="N44" i="13"/>
  <c r="K44" i="13"/>
  <c r="H44" i="13"/>
  <c r="E44" i="13"/>
  <c r="N43" i="13"/>
  <c r="K43" i="13"/>
  <c r="H43" i="13"/>
  <c r="E43" i="13"/>
  <c r="N42" i="13"/>
  <c r="K42" i="13"/>
  <c r="H42" i="13"/>
  <c r="E42" i="13"/>
  <c r="N41" i="13"/>
  <c r="K41" i="13"/>
  <c r="H41" i="13"/>
  <c r="E41" i="13"/>
  <c r="N40" i="13"/>
  <c r="K40" i="13"/>
  <c r="H40" i="13"/>
  <c r="E40" i="13"/>
  <c r="N39" i="13"/>
  <c r="K39" i="13"/>
  <c r="H39" i="13"/>
  <c r="E39" i="13"/>
  <c r="N38" i="13"/>
  <c r="K38" i="13"/>
  <c r="H38" i="13"/>
  <c r="E38" i="13"/>
  <c r="N37" i="13"/>
  <c r="K37" i="13"/>
  <c r="H37" i="13"/>
  <c r="E37" i="13"/>
  <c r="N36" i="13"/>
  <c r="K36" i="13"/>
  <c r="H36" i="13"/>
  <c r="E36" i="13"/>
  <c r="N35" i="13"/>
  <c r="K35" i="13"/>
  <c r="H35" i="13"/>
  <c r="E35" i="13"/>
  <c r="N34" i="13"/>
  <c r="K34" i="13"/>
  <c r="H34" i="13"/>
  <c r="E34" i="13"/>
  <c r="N33" i="13"/>
  <c r="K33" i="13"/>
  <c r="H33" i="13"/>
  <c r="E33" i="13"/>
  <c r="N32" i="13"/>
  <c r="K32" i="13"/>
  <c r="H32" i="13"/>
  <c r="E32" i="13"/>
  <c r="N31" i="13"/>
  <c r="K31" i="13"/>
  <c r="H31" i="13"/>
  <c r="E31" i="13"/>
  <c r="N30" i="13"/>
  <c r="K30" i="13"/>
  <c r="H30" i="13"/>
  <c r="E30" i="13"/>
  <c r="N29" i="13"/>
  <c r="K29" i="13"/>
  <c r="H29" i="13"/>
  <c r="E29" i="13"/>
  <c r="N28" i="13"/>
  <c r="K28" i="13"/>
  <c r="H28" i="13"/>
  <c r="E28" i="13"/>
  <c r="N27" i="13"/>
  <c r="K27" i="13"/>
  <c r="H27" i="13"/>
  <c r="E27" i="13"/>
  <c r="N26" i="13"/>
  <c r="K26" i="13"/>
  <c r="H26" i="13"/>
  <c r="E26" i="13"/>
  <c r="N25" i="13"/>
  <c r="K25" i="13"/>
  <c r="H25" i="13"/>
  <c r="E25" i="13"/>
  <c r="N24" i="13"/>
  <c r="K24" i="13"/>
  <c r="H24" i="13"/>
  <c r="E24" i="13"/>
  <c r="N23" i="13"/>
  <c r="K23" i="13"/>
  <c r="H23" i="13"/>
  <c r="E23" i="13"/>
  <c r="N22" i="13"/>
  <c r="K22" i="13"/>
  <c r="H22" i="13"/>
  <c r="E22" i="13"/>
  <c r="N21" i="13"/>
  <c r="K21" i="13"/>
  <c r="H21" i="13"/>
  <c r="E21" i="13"/>
  <c r="N20" i="13"/>
  <c r="K20" i="13"/>
  <c r="H20" i="13"/>
  <c r="E20" i="13"/>
  <c r="N19" i="13"/>
  <c r="K19" i="13"/>
  <c r="H19" i="13"/>
  <c r="E19" i="13"/>
  <c r="N18" i="13"/>
  <c r="K18" i="13"/>
  <c r="H18" i="13"/>
  <c r="E18" i="13"/>
  <c r="N17" i="13"/>
  <c r="K17" i="13"/>
  <c r="H17" i="13"/>
  <c r="E17" i="13"/>
  <c r="N16" i="13"/>
  <c r="K16" i="13"/>
  <c r="H16" i="13"/>
  <c r="E16" i="13"/>
  <c r="N15" i="13"/>
  <c r="K15" i="13"/>
  <c r="H15" i="13"/>
  <c r="E15" i="13"/>
  <c r="N14" i="13"/>
  <c r="K14" i="13"/>
  <c r="H14" i="13"/>
  <c r="E14" i="13"/>
  <c r="N13" i="13"/>
  <c r="K13" i="13"/>
  <c r="H13" i="13"/>
  <c r="E13" i="13"/>
  <c r="N12" i="13"/>
  <c r="K12" i="13"/>
  <c r="H12" i="13"/>
  <c r="E12" i="13"/>
  <c r="N11" i="13"/>
  <c r="K11" i="13"/>
  <c r="H11" i="13"/>
  <c r="E11" i="13"/>
  <c r="N10" i="13"/>
  <c r="K10" i="13"/>
  <c r="H10" i="13"/>
  <c r="E10" i="13"/>
  <c r="N9" i="13"/>
  <c r="K9" i="13"/>
  <c r="H9" i="13"/>
  <c r="E9" i="13"/>
  <c r="N8" i="13"/>
  <c r="K8" i="13"/>
  <c r="H8" i="13"/>
  <c r="E8" i="13"/>
  <c r="N7" i="13"/>
  <c r="K7" i="13"/>
  <c r="H7" i="13"/>
  <c r="E7" i="13"/>
  <c r="N6" i="13"/>
  <c r="K6" i="13"/>
  <c r="H6" i="13"/>
  <c r="E6" i="13"/>
  <c r="N5" i="13"/>
  <c r="K5" i="13"/>
  <c r="H5" i="13"/>
  <c r="E5" i="13"/>
  <c r="M73" i="12"/>
  <c r="L73" i="12"/>
  <c r="J73" i="12"/>
  <c r="I73" i="12"/>
  <c r="G73" i="12"/>
  <c r="F73" i="12"/>
  <c r="D73" i="12"/>
  <c r="C73" i="12"/>
  <c r="M72" i="12"/>
  <c r="L72" i="12"/>
  <c r="J72" i="12"/>
  <c r="I72" i="12"/>
  <c r="G72" i="12"/>
  <c r="F72" i="12"/>
  <c r="D72" i="12"/>
  <c r="C72" i="12"/>
  <c r="M71" i="12"/>
  <c r="L71" i="12"/>
  <c r="J71" i="12"/>
  <c r="I71" i="12"/>
  <c r="G71" i="12"/>
  <c r="F71" i="12"/>
  <c r="D71" i="12"/>
  <c r="C71" i="12"/>
  <c r="M70" i="12"/>
  <c r="L70" i="12"/>
  <c r="J70" i="12"/>
  <c r="I70" i="12"/>
  <c r="G70" i="12"/>
  <c r="F70" i="12"/>
  <c r="D70" i="12"/>
  <c r="C70" i="12"/>
  <c r="M66" i="12"/>
  <c r="L66" i="12"/>
  <c r="J66" i="12"/>
  <c r="I66" i="12"/>
  <c r="G66" i="12"/>
  <c r="F66" i="12"/>
  <c r="D66" i="12"/>
  <c r="C66" i="12"/>
  <c r="M65" i="12"/>
  <c r="L65" i="12"/>
  <c r="J65" i="12"/>
  <c r="I65" i="12"/>
  <c r="G65" i="12"/>
  <c r="F65" i="12"/>
  <c r="D65" i="12"/>
  <c r="C65" i="12"/>
  <c r="M64" i="12"/>
  <c r="L64" i="12"/>
  <c r="J64" i="12"/>
  <c r="I64" i="12"/>
  <c r="G64" i="12"/>
  <c r="F64" i="12"/>
  <c r="D64" i="12"/>
  <c r="C64" i="12"/>
  <c r="M63" i="12"/>
  <c r="L63" i="12"/>
  <c r="J63" i="12"/>
  <c r="I63" i="12"/>
  <c r="G63" i="12"/>
  <c r="F63" i="12"/>
  <c r="D63" i="12"/>
  <c r="C63" i="12"/>
  <c r="M59" i="12"/>
  <c r="L59" i="12"/>
  <c r="J59" i="12"/>
  <c r="I59" i="12"/>
  <c r="G59" i="12"/>
  <c r="F59" i="12"/>
  <c r="D59" i="12"/>
  <c r="C59" i="12"/>
  <c r="M58" i="12"/>
  <c r="L58" i="12"/>
  <c r="J58" i="12"/>
  <c r="I58" i="12"/>
  <c r="G58" i="12"/>
  <c r="F58" i="12"/>
  <c r="D58" i="12"/>
  <c r="C58" i="12"/>
  <c r="M57" i="12"/>
  <c r="L57" i="12"/>
  <c r="J57" i="12"/>
  <c r="I57" i="12"/>
  <c r="G57" i="12"/>
  <c r="F57" i="12"/>
  <c r="D57" i="12"/>
  <c r="C57" i="12"/>
  <c r="M56" i="12"/>
  <c r="L56" i="12"/>
  <c r="J56" i="12"/>
  <c r="I56" i="12"/>
  <c r="G56" i="12"/>
  <c r="F56" i="12"/>
  <c r="D56" i="12"/>
  <c r="C56" i="12"/>
  <c r="N52" i="12"/>
  <c r="K52" i="12"/>
  <c r="H52" i="12"/>
  <c r="E52" i="12"/>
  <c r="N51" i="12"/>
  <c r="K51" i="12"/>
  <c r="H51" i="12"/>
  <c r="E51" i="12"/>
  <c r="N50" i="12"/>
  <c r="K50" i="12"/>
  <c r="H50" i="12"/>
  <c r="E50" i="12"/>
  <c r="N49" i="12"/>
  <c r="K49" i="12"/>
  <c r="H49" i="12"/>
  <c r="E49" i="12"/>
  <c r="N48" i="12"/>
  <c r="K48" i="12"/>
  <c r="H48" i="12"/>
  <c r="E48" i="12"/>
  <c r="N47" i="12"/>
  <c r="K47" i="12"/>
  <c r="H47" i="12"/>
  <c r="E47" i="12"/>
  <c r="N46" i="12"/>
  <c r="K46" i="12"/>
  <c r="H46" i="12"/>
  <c r="E46" i="12"/>
  <c r="N45" i="12"/>
  <c r="K45" i="12"/>
  <c r="H45" i="12"/>
  <c r="E45" i="12"/>
  <c r="N44" i="12"/>
  <c r="K44" i="12"/>
  <c r="H44" i="12"/>
  <c r="E44" i="12"/>
  <c r="N43" i="12"/>
  <c r="K43" i="12"/>
  <c r="H43" i="12"/>
  <c r="E43" i="12"/>
  <c r="N42" i="12"/>
  <c r="K42" i="12"/>
  <c r="H42" i="12"/>
  <c r="E42" i="12"/>
  <c r="N41" i="12"/>
  <c r="K41" i="12"/>
  <c r="H41" i="12"/>
  <c r="E41" i="12"/>
  <c r="N40" i="12"/>
  <c r="K40" i="12"/>
  <c r="H40" i="12"/>
  <c r="E40" i="12"/>
  <c r="N39" i="12"/>
  <c r="K39" i="12"/>
  <c r="H39" i="12"/>
  <c r="E39" i="12"/>
  <c r="N38" i="12"/>
  <c r="K38" i="12"/>
  <c r="H38" i="12"/>
  <c r="E38" i="12"/>
  <c r="N37" i="12"/>
  <c r="K37" i="12"/>
  <c r="H37" i="12"/>
  <c r="E37" i="12"/>
  <c r="N36" i="12"/>
  <c r="K36" i="12"/>
  <c r="H36" i="12"/>
  <c r="E36" i="12"/>
  <c r="N35" i="12"/>
  <c r="K35" i="12"/>
  <c r="H35" i="12"/>
  <c r="E35" i="12"/>
  <c r="N34" i="12"/>
  <c r="K34" i="12"/>
  <c r="H34" i="12"/>
  <c r="E34" i="12"/>
  <c r="N33" i="12"/>
  <c r="K33" i="12"/>
  <c r="H33" i="12"/>
  <c r="E33" i="12"/>
  <c r="N32" i="12"/>
  <c r="K32" i="12"/>
  <c r="H32" i="12"/>
  <c r="E32" i="12"/>
  <c r="N31" i="12"/>
  <c r="K31" i="12"/>
  <c r="H31" i="12"/>
  <c r="E31" i="12"/>
  <c r="N30" i="12"/>
  <c r="K30" i="12"/>
  <c r="H30" i="12"/>
  <c r="E30" i="12"/>
  <c r="N29" i="12"/>
  <c r="K29" i="12"/>
  <c r="H29" i="12"/>
  <c r="E29" i="12"/>
  <c r="N28" i="12"/>
  <c r="K28" i="12"/>
  <c r="H28" i="12"/>
  <c r="E28" i="12"/>
  <c r="N27" i="12"/>
  <c r="K27" i="12"/>
  <c r="H27" i="12"/>
  <c r="E27" i="12"/>
  <c r="N26" i="12"/>
  <c r="K26" i="12"/>
  <c r="H26" i="12"/>
  <c r="E26" i="12"/>
  <c r="N25" i="12"/>
  <c r="K25" i="12"/>
  <c r="H25" i="12"/>
  <c r="E25" i="12"/>
  <c r="N24" i="12"/>
  <c r="K24" i="12"/>
  <c r="H24" i="12"/>
  <c r="E24" i="12"/>
  <c r="N23" i="12"/>
  <c r="K23" i="12"/>
  <c r="H23" i="12"/>
  <c r="E23" i="12"/>
  <c r="N22" i="12"/>
  <c r="K22" i="12"/>
  <c r="H22" i="12"/>
  <c r="E22" i="12"/>
  <c r="N21" i="12"/>
  <c r="K21" i="12"/>
  <c r="H21" i="12"/>
  <c r="E21" i="12"/>
  <c r="N20" i="12"/>
  <c r="K20" i="12"/>
  <c r="H20" i="12"/>
  <c r="E20" i="12"/>
  <c r="N19" i="12"/>
  <c r="K19" i="12"/>
  <c r="H19" i="12"/>
  <c r="E19" i="12"/>
  <c r="N18" i="12"/>
  <c r="K18" i="12"/>
  <c r="H18" i="12"/>
  <c r="E18" i="12"/>
  <c r="N17" i="12"/>
  <c r="K17" i="12"/>
  <c r="H17" i="12"/>
  <c r="E17" i="12"/>
  <c r="N16" i="12"/>
  <c r="K16" i="12"/>
  <c r="H16" i="12"/>
  <c r="E16" i="12"/>
  <c r="N15" i="12"/>
  <c r="K15" i="12"/>
  <c r="H15" i="12"/>
  <c r="E15" i="12"/>
  <c r="N14" i="12"/>
  <c r="K14" i="12"/>
  <c r="H14" i="12"/>
  <c r="E14" i="12"/>
  <c r="N13" i="12"/>
  <c r="K13" i="12"/>
  <c r="H13" i="12"/>
  <c r="E13" i="12"/>
  <c r="N12" i="12"/>
  <c r="K12" i="12"/>
  <c r="H12" i="12"/>
  <c r="E12" i="12"/>
  <c r="N11" i="12"/>
  <c r="K11" i="12"/>
  <c r="H11" i="12"/>
  <c r="E11" i="12"/>
  <c r="N10" i="12"/>
  <c r="K10" i="12"/>
  <c r="H10" i="12"/>
  <c r="E10" i="12"/>
  <c r="N9" i="12"/>
  <c r="K9" i="12"/>
  <c r="H9" i="12"/>
  <c r="E9" i="12"/>
  <c r="N8" i="12"/>
  <c r="K8" i="12"/>
  <c r="H8" i="12"/>
  <c r="E8" i="12"/>
  <c r="N7" i="12"/>
  <c r="K7" i="12"/>
  <c r="H7" i="12"/>
  <c r="E7" i="12"/>
  <c r="N6" i="12"/>
  <c r="K6" i="12"/>
  <c r="H6" i="12"/>
  <c r="E6" i="12"/>
  <c r="N5" i="12"/>
  <c r="K5" i="12"/>
  <c r="H5" i="12"/>
  <c r="E5" i="12"/>
  <c r="M73" i="11"/>
  <c r="M72" i="11"/>
  <c r="M71" i="11"/>
  <c r="M70" i="11"/>
  <c r="L73" i="11"/>
  <c r="L72" i="11"/>
  <c r="L71" i="11"/>
  <c r="L70" i="11"/>
  <c r="J73" i="11"/>
  <c r="J72" i="11"/>
  <c r="J71" i="11"/>
  <c r="J70" i="11"/>
  <c r="I73" i="11"/>
  <c r="I72" i="11"/>
  <c r="I71" i="11"/>
  <c r="I70" i="11"/>
  <c r="G73" i="11"/>
  <c r="G72" i="11"/>
  <c r="G71" i="11"/>
  <c r="G70" i="11"/>
  <c r="G66" i="11"/>
  <c r="G65" i="11"/>
  <c r="G64" i="11"/>
  <c r="G63" i="11"/>
  <c r="F73" i="11"/>
  <c r="F72" i="11"/>
  <c r="F71" i="11"/>
  <c r="F70" i="11"/>
  <c r="D73" i="11"/>
  <c r="D72" i="11"/>
  <c r="D71" i="11"/>
  <c r="D70" i="11"/>
  <c r="C73" i="11"/>
  <c r="C72" i="11"/>
  <c r="C71" i="11"/>
  <c r="C70" i="11"/>
  <c r="M66" i="11"/>
  <c r="M65" i="11"/>
  <c r="M64" i="11"/>
  <c r="M63" i="11"/>
  <c r="L66" i="11"/>
  <c r="L65" i="11"/>
  <c r="L64" i="11"/>
  <c r="L63" i="11"/>
  <c r="J66" i="11"/>
  <c r="J65" i="11"/>
  <c r="J64" i="11"/>
  <c r="J63" i="11"/>
  <c r="I66" i="11"/>
  <c r="I65" i="11"/>
  <c r="I64" i="11"/>
  <c r="I63" i="11"/>
  <c r="F66" i="11"/>
  <c r="F65" i="11"/>
  <c r="F64" i="11"/>
  <c r="F63" i="11"/>
  <c r="D66" i="11"/>
  <c r="D65" i="11"/>
  <c r="D64" i="11"/>
  <c r="D63" i="11"/>
  <c r="C66" i="11"/>
  <c r="C65" i="11"/>
  <c r="C64" i="11"/>
  <c r="C63" i="11"/>
  <c r="I59" i="11"/>
  <c r="F59" i="11"/>
  <c r="C59" i="11"/>
  <c r="M59" i="11"/>
  <c r="L59" i="11"/>
  <c r="J59" i="11"/>
  <c r="G59" i="11"/>
  <c r="D59" i="11"/>
  <c r="M58" i="11"/>
  <c r="L58" i="11"/>
  <c r="J58" i="11"/>
  <c r="I58" i="11"/>
  <c r="G58" i="11"/>
  <c r="F58" i="11"/>
  <c r="D58" i="11"/>
  <c r="C58" i="11"/>
  <c r="M57" i="11"/>
  <c r="L57" i="11"/>
  <c r="J57" i="11"/>
  <c r="I57" i="11"/>
  <c r="G57" i="11"/>
  <c r="F57" i="11"/>
  <c r="D57" i="11"/>
  <c r="C57" i="11"/>
  <c r="M56" i="11"/>
  <c r="L56" i="11"/>
  <c r="J56" i="11"/>
  <c r="I56" i="11"/>
  <c r="G56" i="11"/>
  <c r="F56" i="11"/>
  <c r="D56" i="11"/>
  <c r="C56" i="11"/>
  <c r="N52" i="11"/>
  <c r="K52" i="11"/>
  <c r="H52" i="11"/>
  <c r="E52" i="11"/>
  <c r="N51" i="11"/>
  <c r="K51" i="11"/>
  <c r="H51" i="11"/>
  <c r="E51" i="11"/>
  <c r="N50" i="11"/>
  <c r="K50" i="11"/>
  <c r="H50" i="11"/>
  <c r="E50" i="11"/>
  <c r="N49" i="11"/>
  <c r="K49" i="11"/>
  <c r="H49" i="11"/>
  <c r="E49" i="11"/>
  <c r="N48" i="11"/>
  <c r="K48" i="11"/>
  <c r="H48" i="11"/>
  <c r="E48" i="11"/>
  <c r="N47" i="11"/>
  <c r="K47" i="11"/>
  <c r="H47" i="11"/>
  <c r="E47" i="11"/>
  <c r="N46" i="11"/>
  <c r="K46" i="11"/>
  <c r="H46" i="11"/>
  <c r="E46" i="11"/>
  <c r="N45" i="11"/>
  <c r="K45" i="11"/>
  <c r="H45" i="11"/>
  <c r="E45" i="11"/>
  <c r="N44" i="11"/>
  <c r="K44" i="11"/>
  <c r="H44" i="11"/>
  <c r="E44" i="11"/>
  <c r="N43" i="11"/>
  <c r="K43" i="11"/>
  <c r="H43" i="11"/>
  <c r="E43" i="11"/>
  <c r="N42" i="11"/>
  <c r="K42" i="11"/>
  <c r="H42" i="11"/>
  <c r="E42" i="11"/>
  <c r="N41" i="11"/>
  <c r="K41" i="11"/>
  <c r="H41" i="11"/>
  <c r="E41" i="11"/>
  <c r="N40" i="11"/>
  <c r="K40" i="11"/>
  <c r="H40" i="11"/>
  <c r="E40" i="11"/>
  <c r="N39" i="11"/>
  <c r="K39" i="11"/>
  <c r="H39" i="11"/>
  <c r="E39" i="11"/>
  <c r="N38" i="11"/>
  <c r="K38" i="11"/>
  <c r="H38" i="11"/>
  <c r="E38" i="11"/>
  <c r="N37" i="11"/>
  <c r="K37" i="11"/>
  <c r="H37" i="11"/>
  <c r="E37" i="11"/>
  <c r="N36" i="11"/>
  <c r="K36" i="11"/>
  <c r="H36" i="11"/>
  <c r="E36" i="11"/>
  <c r="N35" i="11"/>
  <c r="K35" i="11"/>
  <c r="H35" i="11"/>
  <c r="E35" i="11"/>
  <c r="N34" i="11"/>
  <c r="K34" i="11"/>
  <c r="H34" i="11"/>
  <c r="E34" i="11"/>
  <c r="N33" i="11"/>
  <c r="K33" i="11"/>
  <c r="H33" i="11"/>
  <c r="E33" i="11"/>
  <c r="N32" i="11"/>
  <c r="K32" i="11"/>
  <c r="H32" i="11"/>
  <c r="E32" i="11"/>
  <c r="N31" i="11"/>
  <c r="K31" i="11"/>
  <c r="H31" i="11"/>
  <c r="E31" i="11"/>
  <c r="N30" i="11"/>
  <c r="K30" i="11"/>
  <c r="H30" i="11"/>
  <c r="E30" i="11"/>
  <c r="N29" i="11"/>
  <c r="K29" i="11"/>
  <c r="H29" i="11"/>
  <c r="E29" i="11"/>
  <c r="N28" i="11"/>
  <c r="K28" i="11"/>
  <c r="H28" i="11"/>
  <c r="E28" i="11"/>
  <c r="N27" i="11"/>
  <c r="K27" i="11"/>
  <c r="H27" i="11"/>
  <c r="E27" i="11"/>
  <c r="N26" i="11"/>
  <c r="K26" i="11"/>
  <c r="H26" i="11"/>
  <c r="E26" i="11"/>
  <c r="N25" i="11"/>
  <c r="K25" i="11"/>
  <c r="H25" i="11"/>
  <c r="E25" i="11"/>
  <c r="N24" i="11"/>
  <c r="K24" i="11"/>
  <c r="H24" i="11"/>
  <c r="E24" i="11"/>
  <c r="N23" i="11"/>
  <c r="K23" i="11"/>
  <c r="H23" i="11"/>
  <c r="E23" i="11"/>
  <c r="N22" i="11"/>
  <c r="K22" i="11"/>
  <c r="H22" i="11"/>
  <c r="E22" i="11"/>
  <c r="N21" i="11"/>
  <c r="K21" i="11"/>
  <c r="H21" i="11"/>
  <c r="E21" i="11"/>
  <c r="N20" i="11"/>
  <c r="K20" i="11"/>
  <c r="H20" i="11"/>
  <c r="E20" i="11"/>
  <c r="N19" i="11"/>
  <c r="K19" i="11"/>
  <c r="H19" i="11"/>
  <c r="E19" i="11"/>
  <c r="N18" i="11"/>
  <c r="K18" i="11"/>
  <c r="H18" i="11"/>
  <c r="E18" i="11"/>
  <c r="N17" i="11"/>
  <c r="K17" i="11"/>
  <c r="H17" i="11"/>
  <c r="E17" i="11"/>
  <c r="N16" i="11"/>
  <c r="K16" i="11"/>
  <c r="H16" i="11"/>
  <c r="E16" i="11"/>
  <c r="N15" i="11"/>
  <c r="K15" i="11"/>
  <c r="H15" i="11"/>
  <c r="E15" i="11"/>
  <c r="N14" i="11"/>
  <c r="K14" i="11"/>
  <c r="H14" i="11"/>
  <c r="E14" i="11"/>
  <c r="N13" i="11"/>
  <c r="K13" i="11"/>
  <c r="H13" i="11"/>
  <c r="E13" i="11"/>
  <c r="N12" i="11"/>
  <c r="K12" i="11"/>
  <c r="H12" i="11"/>
  <c r="E12" i="11"/>
  <c r="N11" i="11"/>
  <c r="K11" i="11"/>
  <c r="H11" i="11"/>
  <c r="E11" i="11"/>
  <c r="N10" i="11"/>
  <c r="K10" i="11"/>
  <c r="H10" i="11"/>
  <c r="E10" i="11"/>
  <c r="N9" i="11"/>
  <c r="K9" i="11"/>
  <c r="H9" i="11"/>
  <c r="E9" i="11"/>
  <c r="N8" i="11"/>
  <c r="K8" i="11"/>
  <c r="H8" i="11"/>
  <c r="E8" i="11"/>
  <c r="N7" i="11"/>
  <c r="K7" i="11"/>
  <c r="H7" i="11"/>
  <c r="E7" i="11"/>
  <c r="N6" i="11"/>
  <c r="K6" i="11"/>
  <c r="H6" i="11"/>
  <c r="E6" i="11"/>
  <c r="N5" i="11"/>
  <c r="K5" i="11"/>
  <c r="H5" i="11"/>
  <c r="E5" i="11"/>
</calcChain>
</file>

<file path=xl/sharedStrings.xml><?xml version="1.0" encoding="utf-8"?>
<sst xmlns="http://schemas.openxmlformats.org/spreadsheetml/2006/main" count="630" uniqueCount="29">
  <si>
    <t>dmap p2p (M0) range</t>
  </si>
  <si>
    <t>20.0m vs 10.0m</t>
  </si>
  <si>
    <t>20.0m vs 30.0m</t>
  </si>
  <si>
    <t>RTE</t>
  </si>
  <si>
    <t>RRE</t>
  </si>
  <si>
    <t>Sign Diff</t>
  </si>
  <si>
    <t>Rel Diff ((A-B)/B)</t>
  </si>
  <si>
    <t>Outlier?</t>
  </si>
  <si>
    <t>nav_a_diff</t>
  </si>
  <si>
    <t>0.50m</t>
  </si>
  <si>
    <t>nav_a_omni</t>
  </si>
  <si>
    <t>loop</t>
  </si>
  <si>
    <t>slippage</t>
  </si>
  <si>
    <t>1.00m</t>
  </si>
  <si>
    <t>1.50m</t>
  </si>
  <si>
    <t>2.00m</t>
  </si>
  <si>
    <t>2.50m</t>
  </si>
  <si>
    <t>3.00m</t>
  </si>
  <si>
    <t>MEAN:</t>
  </si>
  <si>
    <t>MEDIAN:</t>
  </si>
  <si>
    <t>STD:</t>
  </si>
  <si>
    <t>COUNT:</t>
  </si>
  <si>
    <t>TRANS.</t>
  </si>
  <si>
    <t>INLIE.</t>
  </si>
  <si>
    <t>dmap p2pl (M0) range</t>
  </si>
  <si>
    <t>icp p2p (M0) range</t>
  </si>
  <si>
    <t>icp p2pl (M0) range</t>
  </si>
  <si>
    <t>dmap p2p (M1) range</t>
  </si>
  <si>
    <t>dmap p2pl (M2)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</si>
</sst>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2" fillId="2" borderId="2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ADA1-7709-49B1-9AF9-C54798BB4FE5}">
  <dimension ref="A1:O73"/>
  <sheetViews>
    <sheetView workbookViewId="0"/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-0.12</v>
      </c>
      <c r="D5">
        <v>-3.8</v>
      </c>
      <c r="E5" t="str">
        <f>IF(ABS(D5)&gt;50,"?","-")</f>
        <v>-</v>
      </c>
      <c r="F5">
        <v>3.3000000000000002E-2</v>
      </c>
      <c r="G5">
        <v>21.3</v>
      </c>
      <c r="H5" t="str">
        <f>IF(ABS(G5)&gt;50,"?","-")</f>
        <v>-</v>
      </c>
      <c r="I5" s="1">
        <v>-0.1</v>
      </c>
      <c r="J5">
        <v>-3.3</v>
      </c>
      <c r="K5" t="str">
        <f>IF(ABS(J5)&gt;50,"?","-")</f>
        <v>-</v>
      </c>
      <c r="L5">
        <v>-6.0000000000000001E-3</v>
      </c>
      <c r="M5">
        <v>-3.2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0.04</v>
      </c>
      <c r="D6">
        <v>1.6</v>
      </c>
      <c r="E6" t="str">
        <f t="shared" ref="E6:E52" si="0">IF(ABS(D6)&gt;50,"?","-")</f>
        <v>-</v>
      </c>
      <c r="F6">
        <v>1.4E-2</v>
      </c>
      <c r="G6">
        <v>10.4</v>
      </c>
      <c r="H6" t="str">
        <f t="shared" ref="H6:H52" si="1">IF(ABS(G6)&gt;50,"?","-")</f>
        <v>-</v>
      </c>
      <c r="I6" s="1">
        <v>0.02</v>
      </c>
      <c r="J6">
        <v>0.8</v>
      </c>
      <c r="K6" t="str">
        <f t="shared" ref="K6:K52" si="2">IF(ABS(J6)&gt;50,"?","-")</f>
        <v>-</v>
      </c>
      <c r="L6">
        <v>-1.4E-2</v>
      </c>
      <c r="M6">
        <v>-9.5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-1.25</v>
      </c>
      <c r="D7">
        <v>-17.2</v>
      </c>
      <c r="E7" t="str">
        <f t="shared" si="0"/>
        <v>-</v>
      </c>
      <c r="F7">
        <v>-2.8000000000000001E-2</v>
      </c>
      <c r="G7">
        <v>-7.9</v>
      </c>
      <c r="H7" t="str">
        <f t="shared" si="1"/>
        <v>-</v>
      </c>
      <c r="I7" s="1">
        <v>-0.23</v>
      </c>
      <c r="J7">
        <v>-3.8</v>
      </c>
      <c r="K7" t="str">
        <f t="shared" si="2"/>
        <v>-</v>
      </c>
      <c r="L7">
        <v>-1.4999999999999999E-2</v>
      </c>
      <c r="M7">
        <v>-4.5999999999999996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-0.22</v>
      </c>
      <c r="D8">
        <v>-17.3</v>
      </c>
      <c r="E8" t="str">
        <f t="shared" si="0"/>
        <v>-</v>
      </c>
      <c r="F8">
        <v>-3.5000000000000003E-2</v>
      </c>
      <c r="G8">
        <v>-33.299999999999997</v>
      </c>
      <c r="H8" t="str">
        <f t="shared" si="1"/>
        <v>-</v>
      </c>
      <c r="I8" s="1">
        <v>0.23</v>
      </c>
      <c r="J8">
        <v>21.9</v>
      </c>
      <c r="K8" t="str">
        <f t="shared" si="2"/>
        <v>-</v>
      </c>
      <c r="L8">
        <v>-1.0999999999999999E-2</v>
      </c>
      <c r="M8">
        <v>-15.7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-0.16</v>
      </c>
      <c r="D9">
        <v>-7.3</v>
      </c>
      <c r="E9" t="str">
        <f t="shared" si="0"/>
        <v>-</v>
      </c>
      <c r="F9">
        <v>1.4999999999999999E-2</v>
      </c>
      <c r="G9">
        <v>10.3</v>
      </c>
      <c r="H9" t="str">
        <f t="shared" si="1"/>
        <v>-</v>
      </c>
      <c r="I9" s="1">
        <v>0.01</v>
      </c>
      <c r="J9">
        <v>0.5</v>
      </c>
      <c r="K9" t="str">
        <f t="shared" si="2"/>
        <v>-</v>
      </c>
      <c r="L9">
        <v>0</v>
      </c>
      <c r="M9">
        <v>0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-0.06</v>
      </c>
      <c r="D10">
        <v>-3</v>
      </c>
      <c r="E10" t="str">
        <f t="shared" si="0"/>
        <v>-</v>
      </c>
      <c r="F10">
        <v>1E-3</v>
      </c>
      <c r="G10">
        <v>1</v>
      </c>
      <c r="H10" t="str">
        <f t="shared" si="1"/>
        <v>-</v>
      </c>
      <c r="I10" s="1">
        <v>0</v>
      </c>
      <c r="J10">
        <v>0</v>
      </c>
      <c r="K10" t="str">
        <f t="shared" si="2"/>
        <v>-</v>
      </c>
      <c r="L10">
        <v>6.0000000000000001E-3</v>
      </c>
      <c r="M10">
        <v>5.9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-0.75</v>
      </c>
      <c r="D11">
        <v>-14.3</v>
      </c>
      <c r="E11" t="str">
        <f t="shared" si="0"/>
        <v>-</v>
      </c>
      <c r="F11">
        <v>-4.5999999999999999E-2</v>
      </c>
      <c r="G11">
        <v>-16.399999999999999</v>
      </c>
      <c r="H11" t="str">
        <f t="shared" si="1"/>
        <v>-</v>
      </c>
      <c r="I11" s="1">
        <v>-0.13</v>
      </c>
      <c r="J11">
        <v>-2.9</v>
      </c>
      <c r="K11" t="str">
        <f t="shared" si="2"/>
        <v>-</v>
      </c>
      <c r="L11">
        <v>1E-3</v>
      </c>
      <c r="M11">
        <v>0.4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-0.43</v>
      </c>
      <c r="D12">
        <v>-42.6</v>
      </c>
      <c r="E12" t="str">
        <f t="shared" si="0"/>
        <v>-</v>
      </c>
      <c r="F12">
        <v>-1.4999999999999999E-2</v>
      </c>
      <c r="G12">
        <v>-18.8</v>
      </c>
      <c r="H12" t="str">
        <f t="shared" si="1"/>
        <v>-</v>
      </c>
      <c r="I12" s="1">
        <v>0.38</v>
      </c>
      <c r="J12">
        <v>65.5</v>
      </c>
      <c r="K12" t="str">
        <f t="shared" si="2"/>
        <v>?</v>
      </c>
      <c r="L12">
        <v>8.9999999999999993E-3</v>
      </c>
      <c r="M12">
        <v>13.8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-0.01</v>
      </c>
      <c r="D13">
        <v>-0.6</v>
      </c>
      <c r="E13" t="str">
        <f t="shared" si="0"/>
        <v>-</v>
      </c>
      <c r="F13">
        <v>-3.0000000000000001E-3</v>
      </c>
      <c r="G13">
        <v>-2</v>
      </c>
      <c r="H13" t="str">
        <f t="shared" si="1"/>
        <v>-</v>
      </c>
      <c r="I13" s="1">
        <v>-0.02</v>
      </c>
      <c r="J13">
        <v>-1.1000000000000001</v>
      </c>
      <c r="K13" t="str">
        <f t="shared" si="2"/>
        <v>-</v>
      </c>
      <c r="L13">
        <v>2E-3</v>
      </c>
      <c r="M13">
        <v>1.4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0.04</v>
      </c>
      <c r="D14">
        <v>2.6</v>
      </c>
      <c r="E14" t="str">
        <f t="shared" si="0"/>
        <v>-</v>
      </c>
      <c r="F14">
        <v>-6.0000000000000001E-3</v>
      </c>
      <c r="G14">
        <v>-6.3</v>
      </c>
      <c r="H14" t="str">
        <f t="shared" si="1"/>
        <v>-</v>
      </c>
      <c r="I14" s="1">
        <v>0.04</v>
      </c>
      <c r="J14">
        <v>2.5</v>
      </c>
      <c r="K14" t="str">
        <f t="shared" si="2"/>
        <v>-</v>
      </c>
      <c r="L14">
        <v>8.0000000000000002E-3</v>
      </c>
      <c r="M14">
        <v>8.9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-1.31</v>
      </c>
      <c r="D15">
        <v>-31</v>
      </c>
      <c r="E15" t="str">
        <f t="shared" si="0"/>
        <v>-</v>
      </c>
      <c r="F15">
        <v>-6.5000000000000002E-2</v>
      </c>
      <c r="G15">
        <v>-26.6</v>
      </c>
      <c r="H15" t="str">
        <f t="shared" si="1"/>
        <v>-</v>
      </c>
      <c r="I15" s="1">
        <v>0.11</v>
      </c>
      <c r="J15">
        <v>3.8</v>
      </c>
      <c r="K15" t="str">
        <f t="shared" si="2"/>
        <v>-</v>
      </c>
      <c r="L15">
        <v>4.0000000000000001E-3</v>
      </c>
      <c r="M15">
        <v>2.2000000000000002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-0.36</v>
      </c>
      <c r="D16">
        <v>-40</v>
      </c>
      <c r="E16" t="str">
        <f t="shared" si="0"/>
        <v>-</v>
      </c>
      <c r="F16">
        <v>-2.5000000000000001E-2</v>
      </c>
      <c r="G16">
        <v>-33.299999999999997</v>
      </c>
      <c r="H16" t="str">
        <f t="shared" si="1"/>
        <v>-</v>
      </c>
      <c r="I16" s="1">
        <v>0.24</v>
      </c>
      <c r="J16">
        <v>44.4</v>
      </c>
      <c r="K16" t="str">
        <f t="shared" si="2"/>
        <v>-</v>
      </c>
      <c r="L16">
        <v>6.0000000000000001E-3</v>
      </c>
      <c r="M16">
        <v>12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-0.06</v>
      </c>
      <c r="D17">
        <v>-3.8</v>
      </c>
      <c r="E17" t="str">
        <f t="shared" si="0"/>
        <v>-</v>
      </c>
      <c r="F17">
        <v>-8.9999999999999993E-3</v>
      </c>
      <c r="G17">
        <v>-6.5</v>
      </c>
      <c r="H17" t="str">
        <f t="shared" si="1"/>
        <v>-</v>
      </c>
      <c r="I17" s="1">
        <v>0.01</v>
      </c>
      <c r="J17">
        <v>0.7</v>
      </c>
      <c r="K17" t="str">
        <f t="shared" si="2"/>
        <v>-</v>
      </c>
      <c r="L17">
        <v>-3.0000000000000001E-3</v>
      </c>
      <c r="M17">
        <v>-2.2999999999999998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0.06</v>
      </c>
      <c r="D18">
        <v>4.4000000000000004</v>
      </c>
      <c r="E18" t="str">
        <f t="shared" si="0"/>
        <v>-</v>
      </c>
      <c r="F18">
        <v>-1E-3</v>
      </c>
      <c r="G18">
        <v>-1.1000000000000001</v>
      </c>
      <c r="H18" t="str">
        <f t="shared" si="1"/>
        <v>-</v>
      </c>
      <c r="I18" s="1">
        <v>0.08</v>
      </c>
      <c r="J18">
        <v>5.6</v>
      </c>
      <c r="K18" t="str">
        <f t="shared" si="2"/>
        <v>-</v>
      </c>
      <c r="L18">
        <v>1.2E-2</v>
      </c>
      <c r="M18">
        <v>13.3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0.25</v>
      </c>
      <c r="D19">
        <v>8.5</v>
      </c>
      <c r="E19" t="str">
        <f t="shared" si="0"/>
        <v>-</v>
      </c>
      <c r="F19">
        <v>0.02</v>
      </c>
      <c r="G19">
        <v>11.2</v>
      </c>
      <c r="H19" t="str">
        <f t="shared" si="1"/>
        <v>-</v>
      </c>
      <c r="I19" s="1">
        <v>-7.0000000000000007E-2</v>
      </c>
      <c r="J19">
        <v>-2.2000000000000002</v>
      </c>
      <c r="K19" t="str">
        <f t="shared" si="2"/>
        <v>-</v>
      </c>
      <c r="L19">
        <v>3.0000000000000001E-3</v>
      </c>
      <c r="M19">
        <v>1.5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-0.18</v>
      </c>
      <c r="D20">
        <v>-25.7</v>
      </c>
      <c r="E20" t="str">
        <f t="shared" si="0"/>
        <v>-</v>
      </c>
      <c r="F20">
        <v>-2.4E-2</v>
      </c>
      <c r="G20">
        <v>-38.700000000000003</v>
      </c>
      <c r="H20" t="str">
        <f t="shared" si="1"/>
        <v>-</v>
      </c>
      <c r="I20" s="1">
        <v>0.45</v>
      </c>
      <c r="J20">
        <v>86.5</v>
      </c>
      <c r="K20" t="str">
        <f t="shared" si="2"/>
        <v>?</v>
      </c>
      <c r="L20">
        <v>1.0999999999999999E-2</v>
      </c>
      <c r="M20">
        <v>28.9</v>
      </c>
      <c r="N20" s="2" t="str">
        <f t="shared" si="3"/>
        <v>-</v>
      </c>
    </row>
    <row r="21" spans="1:14">
      <c r="A21" s="11" t="s">
        <v>8</v>
      </c>
      <c r="B21" s="12" t="s">
        <v>16</v>
      </c>
      <c r="C21">
        <v>-0.11</v>
      </c>
      <c r="D21">
        <v>-7.8</v>
      </c>
      <c r="E21" t="str">
        <f t="shared" si="0"/>
        <v>-</v>
      </c>
      <c r="F21">
        <v>-1.9E-2</v>
      </c>
      <c r="G21">
        <v>-14.6</v>
      </c>
      <c r="H21" t="str">
        <f t="shared" si="1"/>
        <v>-</v>
      </c>
      <c r="I21" s="1">
        <v>0.05</v>
      </c>
      <c r="J21">
        <v>3.8</v>
      </c>
      <c r="K21" t="str">
        <f t="shared" si="2"/>
        <v>-</v>
      </c>
      <c r="L21">
        <v>1.4999999999999999E-2</v>
      </c>
      <c r="M21">
        <v>13.5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0.03</v>
      </c>
      <c r="D22">
        <v>2.4</v>
      </c>
      <c r="E22" t="str">
        <f t="shared" si="0"/>
        <v>-</v>
      </c>
      <c r="F22">
        <v>-7.0000000000000001E-3</v>
      </c>
      <c r="G22">
        <v>-7</v>
      </c>
      <c r="H22" t="str">
        <f t="shared" si="1"/>
        <v>-</v>
      </c>
      <c r="I22" s="1">
        <v>-0.05</v>
      </c>
      <c r="J22">
        <v>-3.9</v>
      </c>
      <c r="K22" t="str">
        <f t="shared" si="2"/>
        <v>-</v>
      </c>
      <c r="L22">
        <v>-5.0000000000000001E-3</v>
      </c>
      <c r="M22">
        <v>-5.4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-0.41</v>
      </c>
      <c r="D23">
        <v>-10.199999999999999</v>
      </c>
      <c r="E23" t="str">
        <f t="shared" si="0"/>
        <v>-</v>
      </c>
      <c r="F23">
        <v>-2.9000000000000001E-2</v>
      </c>
      <c r="G23">
        <v>-12.8</v>
      </c>
      <c r="H23" t="str">
        <f t="shared" si="1"/>
        <v>-</v>
      </c>
      <c r="I23" s="1">
        <v>0.26</v>
      </c>
      <c r="J23">
        <v>7.2</v>
      </c>
      <c r="K23" t="str">
        <f t="shared" si="2"/>
        <v>-</v>
      </c>
      <c r="L23">
        <v>2E-3</v>
      </c>
      <c r="M23">
        <v>1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-0.4</v>
      </c>
      <c r="D24">
        <v>-43</v>
      </c>
      <c r="E24" t="str">
        <f t="shared" si="0"/>
        <v>-</v>
      </c>
      <c r="F24">
        <v>-3.5999999999999997E-2</v>
      </c>
      <c r="G24">
        <v>-50</v>
      </c>
      <c r="H24" t="str">
        <f t="shared" si="1"/>
        <v>-</v>
      </c>
      <c r="I24" s="1">
        <v>0.15</v>
      </c>
      <c r="J24">
        <v>28.3</v>
      </c>
      <c r="K24" t="str">
        <f t="shared" si="2"/>
        <v>-</v>
      </c>
      <c r="L24">
        <v>-3.0000000000000001E-3</v>
      </c>
      <c r="M24">
        <v>-8.3000000000000007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-0.11</v>
      </c>
      <c r="D25">
        <v>-6.6</v>
      </c>
      <c r="E25" t="str">
        <f t="shared" si="0"/>
        <v>-</v>
      </c>
      <c r="F25">
        <v>-1.7000000000000001E-2</v>
      </c>
      <c r="G25">
        <v>-11.9</v>
      </c>
      <c r="H25" t="str">
        <f t="shared" si="1"/>
        <v>-</v>
      </c>
      <c r="I25" s="1">
        <v>-0.08</v>
      </c>
      <c r="J25">
        <v>-5.2</v>
      </c>
      <c r="K25" t="str">
        <f t="shared" si="2"/>
        <v>-</v>
      </c>
      <c r="L25">
        <v>-6.0000000000000001E-3</v>
      </c>
      <c r="M25">
        <v>-4.8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0.18</v>
      </c>
      <c r="D26">
        <v>14.6</v>
      </c>
      <c r="E26" t="str">
        <f t="shared" si="0"/>
        <v>-</v>
      </c>
      <c r="F26">
        <v>3.4000000000000002E-2</v>
      </c>
      <c r="G26">
        <v>40</v>
      </c>
      <c r="H26" t="str">
        <f t="shared" si="1"/>
        <v>-</v>
      </c>
      <c r="I26" s="1">
        <v>0.04</v>
      </c>
      <c r="J26">
        <v>2.8</v>
      </c>
      <c r="K26" t="str">
        <f t="shared" si="2"/>
        <v>-</v>
      </c>
      <c r="L26">
        <v>2E-3</v>
      </c>
      <c r="M26">
        <v>1.7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0.21</v>
      </c>
      <c r="D27">
        <v>4.8</v>
      </c>
      <c r="E27" t="str">
        <f t="shared" si="0"/>
        <v>-</v>
      </c>
      <c r="F27">
        <v>-2.8000000000000001E-2</v>
      </c>
      <c r="G27">
        <v>-11</v>
      </c>
      <c r="H27" t="str">
        <f t="shared" si="1"/>
        <v>-</v>
      </c>
      <c r="I27" s="1">
        <v>-0.69</v>
      </c>
      <c r="J27">
        <v>-15</v>
      </c>
      <c r="K27" t="str">
        <f t="shared" si="2"/>
        <v>-</v>
      </c>
      <c r="L27">
        <v>-2.8000000000000001E-2</v>
      </c>
      <c r="M27">
        <v>-12.4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-0.28000000000000003</v>
      </c>
      <c r="D28">
        <v>-34.1</v>
      </c>
      <c r="E28" t="str">
        <f t="shared" si="0"/>
        <v>-</v>
      </c>
      <c r="F28">
        <v>2.4E-2</v>
      </c>
      <c r="G28">
        <v>72.7</v>
      </c>
      <c r="H28" t="str">
        <f t="shared" si="1"/>
        <v>?</v>
      </c>
      <c r="I28" s="1">
        <v>0.38</v>
      </c>
      <c r="J28">
        <v>70.400000000000006</v>
      </c>
      <c r="K28" t="str">
        <f t="shared" si="2"/>
        <v>?</v>
      </c>
      <c r="L28">
        <v>3.0000000000000001E-3</v>
      </c>
      <c r="M28">
        <v>5.3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-0.19</v>
      </c>
      <c r="D29">
        <v>-14</v>
      </c>
      <c r="E29" t="str">
        <f t="shared" si="0"/>
        <v>-</v>
      </c>
      <c r="F29">
        <v>-1E-3</v>
      </c>
      <c r="G29">
        <v>-0.9</v>
      </c>
      <c r="H29" t="str">
        <f t="shared" si="1"/>
        <v>-</v>
      </c>
      <c r="I29" s="1">
        <v>-0.05</v>
      </c>
      <c r="J29">
        <v>-4.3</v>
      </c>
      <c r="K29" t="str">
        <f t="shared" si="2"/>
        <v>-</v>
      </c>
      <c r="L29">
        <v>-1.6E-2</v>
      </c>
      <c r="M29">
        <v>-14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-0.2</v>
      </c>
      <c r="D30">
        <v>-14.7</v>
      </c>
      <c r="E30" t="str">
        <f t="shared" si="0"/>
        <v>-</v>
      </c>
      <c r="F30">
        <v>-1.7999999999999999E-2</v>
      </c>
      <c r="G30">
        <v>-17</v>
      </c>
      <c r="H30" t="str">
        <f t="shared" si="1"/>
        <v>-</v>
      </c>
      <c r="I30" s="1">
        <v>-7.0000000000000007E-2</v>
      </c>
      <c r="J30">
        <v>-6</v>
      </c>
      <c r="K30" t="str">
        <f t="shared" si="2"/>
        <v>-</v>
      </c>
      <c r="L30">
        <v>2E-3</v>
      </c>
      <c r="M30">
        <v>2.2999999999999998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0.02</v>
      </c>
      <c r="D31">
        <v>0.8</v>
      </c>
      <c r="E31" t="str">
        <f t="shared" si="0"/>
        <v>-</v>
      </c>
      <c r="F31">
        <v>-1.2999999999999999E-2</v>
      </c>
      <c r="G31">
        <v>-7.8</v>
      </c>
      <c r="H31" t="str">
        <f t="shared" si="1"/>
        <v>-</v>
      </c>
      <c r="I31" s="1">
        <v>-0.04</v>
      </c>
      <c r="J31">
        <v>-1.6</v>
      </c>
      <c r="K31" t="str">
        <f t="shared" si="2"/>
        <v>-</v>
      </c>
      <c r="L31">
        <v>4.0000000000000001E-3</v>
      </c>
      <c r="M31">
        <v>2.6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-0.34</v>
      </c>
      <c r="D32">
        <v>-38.6</v>
      </c>
      <c r="E32" t="str">
        <f t="shared" si="0"/>
        <v>-</v>
      </c>
      <c r="F32">
        <v>-5.0000000000000001E-3</v>
      </c>
      <c r="G32">
        <v>-8.6</v>
      </c>
      <c r="H32" t="str">
        <f t="shared" si="1"/>
        <v>-</v>
      </c>
      <c r="I32" s="1">
        <v>0.17</v>
      </c>
      <c r="J32">
        <v>31.5</v>
      </c>
      <c r="K32" t="str">
        <f t="shared" si="2"/>
        <v>-</v>
      </c>
      <c r="L32">
        <v>-1.9E-2</v>
      </c>
      <c r="M32">
        <v>-35.799999999999997</v>
      </c>
      <c r="N32" s="2" t="str">
        <f t="shared" si="3"/>
        <v>-</v>
      </c>
    </row>
    <row r="33" spans="1:14">
      <c r="A33" s="11" t="s">
        <v>8</v>
      </c>
      <c r="B33" s="13">
        <v>0.5</v>
      </c>
      <c r="C33">
        <v>-0.03</v>
      </c>
      <c r="D33">
        <v>-2.1</v>
      </c>
      <c r="E33" t="str">
        <f t="shared" si="0"/>
        <v>-</v>
      </c>
      <c r="F33">
        <v>-0.02</v>
      </c>
      <c r="G33">
        <v>-15.4</v>
      </c>
      <c r="H33" t="str">
        <f t="shared" si="1"/>
        <v>-</v>
      </c>
      <c r="I33" s="1">
        <v>-0.03</v>
      </c>
      <c r="J33">
        <v>-2.2000000000000002</v>
      </c>
      <c r="K33" t="str">
        <f t="shared" si="2"/>
        <v>-</v>
      </c>
      <c r="L33">
        <v>1.2E-2</v>
      </c>
      <c r="M33">
        <v>10.9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-0.08</v>
      </c>
      <c r="D34">
        <v>-5.6</v>
      </c>
      <c r="E34" t="str">
        <f t="shared" si="0"/>
        <v>-</v>
      </c>
      <c r="F34">
        <v>-3.1E-2</v>
      </c>
      <c r="G34">
        <v>-25.2</v>
      </c>
      <c r="H34" t="str">
        <f t="shared" si="1"/>
        <v>-</v>
      </c>
      <c r="I34" s="1">
        <v>-0.03</v>
      </c>
      <c r="J34">
        <v>-2.2000000000000002</v>
      </c>
      <c r="K34" t="str">
        <f t="shared" si="2"/>
        <v>-</v>
      </c>
      <c r="L34">
        <v>-3.0000000000000001E-3</v>
      </c>
      <c r="M34">
        <v>-3.3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-0.69</v>
      </c>
      <c r="D35">
        <v>-18.7</v>
      </c>
      <c r="E35" t="str">
        <f t="shared" si="0"/>
        <v>-</v>
      </c>
      <c r="F35">
        <v>-5.8000000000000003E-2</v>
      </c>
      <c r="G35">
        <v>-29.1</v>
      </c>
      <c r="H35" t="str">
        <f t="shared" si="1"/>
        <v>-</v>
      </c>
      <c r="I35" s="1">
        <v>0.01</v>
      </c>
      <c r="J35">
        <v>0.3</v>
      </c>
      <c r="K35" t="str">
        <f t="shared" si="2"/>
        <v>-</v>
      </c>
      <c r="L35">
        <v>3.0000000000000001E-3</v>
      </c>
      <c r="M35">
        <v>2.1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-0.35</v>
      </c>
      <c r="D36">
        <v>-38</v>
      </c>
      <c r="E36" t="str">
        <f t="shared" si="0"/>
        <v>-</v>
      </c>
      <c r="F36">
        <v>1.2999999999999999E-2</v>
      </c>
      <c r="G36">
        <v>34.200000000000003</v>
      </c>
      <c r="H36" t="str">
        <f t="shared" si="1"/>
        <v>-</v>
      </c>
      <c r="I36" s="1">
        <v>7.0000000000000007E-2</v>
      </c>
      <c r="J36">
        <v>12.3</v>
      </c>
      <c r="K36" t="str">
        <f t="shared" si="2"/>
        <v>-</v>
      </c>
      <c r="L36">
        <v>1E-3</v>
      </c>
      <c r="M36">
        <v>2</v>
      </c>
      <c r="N36" s="2" t="str">
        <f t="shared" si="3"/>
        <v>-</v>
      </c>
    </row>
    <row r="37" spans="1:14">
      <c r="A37" s="11" t="s">
        <v>8</v>
      </c>
      <c r="B37" s="13">
        <v>0.6</v>
      </c>
      <c r="C37">
        <v>-0.01</v>
      </c>
      <c r="D37">
        <v>-0.6</v>
      </c>
      <c r="E37" t="str">
        <f t="shared" si="0"/>
        <v>-</v>
      </c>
      <c r="F37">
        <v>-1.4E-2</v>
      </c>
      <c r="G37">
        <v>-9.9</v>
      </c>
      <c r="H37" t="str">
        <f t="shared" si="1"/>
        <v>-</v>
      </c>
      <c r="I37" s="1">
        <v>-0.02</v>
      </c>
      <c r="J37">
        <v>-1.3</v>
      </c>
      <c r="K37" t="str">
        <f t="shared" si="2"/>
        <v>-</v>
      </c>
      <c r="L37">
        <v>2E-3</v>
      </c>
      <c r="M37">
        <v>1.6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0.04</v>
      </c>
      <c r="D38">
        <v>2.7</v>
      </c>
      <c r="E38" t="str">
        <f t="shared" si="0"/>
        <v>-</v>
      </c>
      <c r="F38">
        <v>-5.0000000000000001E-3</v>
      </c>
      <c r="G38">
        <v>-5.0999999999999996</v>
      </c>
      <c r="H38" t="str">
        <f t="shared" si="1"/>
        <v>-</v>
      </c>
      <c r="I38" s="1">
        <v>-0.12</v>
      </c>
      <c r="J38">
        <v>-7.9</v>
      </c>
      <c r="K38" t="str">
        <f t="shared" si="2"/>
        <v>-</v>
      </c>
      <c r="L38">
        <v>-3.0000000000000001E-3</v>
      </c>
      <c r="M38">
        <v>-3.2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-0.47</v>
      </c>
      <c r="D39">
        <v>-12.8</v>
      </c>
      <c r="E39" t="str">
        <f t="shared" si="0"/>
        <v>-</v>
      </c>
      <c r="F39">
        <v>-4.5999999999999999E-2</v>
      </c>
      <c r="G39">
        <v>-21.3</v>
      </c>
      <c r="H39" t="str">
        <f t="shared" si="1"/>
        <v>-</v>
      </c>
      <c r="I39" s="1">
        <v>-7.0000000000000007E-2</v>
      </c>
      <c r="J39">
        <v>-2.2000000000000002</v>
      </c>
      <c r="K39" t="str">
        <f t="shared" si="2"/>
        <v>-</v>
      </c>
      <c r="L39">
        <v>5.0000000000000001E-3</v>
      </c>
      <c r="M39">
        <v>2.9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-0.46</v>
      </c>
      <c r="D40">
        <v>-44.2</v>
      </c>
      <c r="E40" t="str">
        <f t="shared" si="0"/>
        <v>-</v>
      </c>
      <c r="F40">
        <v>-3.7999999999999999E-2</v>
      </c>
      <c r="G40">
        <v>-49.4</v>
      </c>
      <c r="H40" t="str">
        <f t="shared" si="1"/>
        <v>-</v>
      </c>
      <c r="I40" s="1">
        <v>0.05</v>
      </c>
      <c r="J40">
        <v>8.6</v>
      </c>
      <c r="K40" t="str">
        <f t="shared" si="2"/>
        <v>-</v>
      </c>
      <c r="L40">
        <v>1.2999999999999999E-2</v>
      </c>
      <c r="M40">
        <v>33.299999999999997</v>
      </c>
      <c r="N40" s="2" t="str">
        <f t="shared" si="3"/>
        <v>-</v>
      </c>
    </row>
    <row r="41" spans="1:14">
      <c r="A41" s="11" t="s">
        <v>8</v>
      </c>
      <c r="B41" s="13">
        <v>0.7</v>
      </c>
      <c r="C41">
        <v>-0.09</v>
      </c>
      <c r="D41">
        <v>-4.5999999999999996</v>
      </c>
      <c r="E41" t="str">
        <f t="shared" si="0"/>
        <v>-</v>
      </c>
      <c r="F41">
        <v>4.0000000000000001E-3</v>
      </c>
      <c r="G41">
        <v>2.9</v>
      </c>
      <c r="H41" t="str">
        <f t="shared" si="1"/>
        <v>-</v>
      </c>
      <c r="I41" s="1">
        <v>-0.03</v>
      </c>
      <c r="J41">
        <v>-1.6</v>
      </c>
      <c r="K41" t="str">
        <f t="shared" si="2"/>
        <v>-</v>
      </c>
      <c r="L41">
        <v>0</v>
      </c>
      <c r="M41">
        <v>0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-0.25</v>
      </c>
      <c r="D42">
        <v>-13.2</v>
      </c>
      <c r="E42" t="str">
        <f t="shared" si="0"/>
        <v>-</v>
      </c>
      <c r="F42">
        <v>-2.1000000000000001E-2</v>
      </c>
      <c r="G42">
        <v>-18.8</v>
      </c>
      <c r="H42" t="str">
        <f t="shared" si="1"/>
        <v>-</v>
      </c>
      <c r="I42" s="1">
        <v>0.01</v>
      </c>
      <c r="J42">
        <v>0.6</v>
      </c>
      <c r="K42" t="str">
        <f t="shared" si="2"/>
        <v>-</v>
      </c>
      <c r="L42">
        <v>7.0000000000000001E-3</v>
      </c>
      <c r="M42">
        <v>7.7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-0.49</v>
      </c>
      <c r="D43">
        <v>-10</v>
      </c>
      <c r="E43" t="str">
        <f t="shared" si="0"/>
        <v>-</v>
      </c>
      <c r="F43">
        <v>-3.1E-2</v>
      </c>
      <c r="G43">
        <v>-12.5</v>
      </c>
      <c r="H43" t="str">
        <f t="shared" si="1"/>
        <v>-</v>
      </c>
      <c r="I43" s="1">
        <v>-0.06</v>
      </c>
      <c r="J43">
        <v>-1.4</v>
      </c>
      <c r="K43" t="str">
        <f t="shared" si="2"/>
        <v>-</v>
      </c>
      <c r="L43">
        <v>0</v>
      </c>
      <c r="M43">
        <v>0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-0.45</v>
      </c>
      <c r="D44">
        <v>-42.9</v>
      </c>
      <c r="E44" t="str">
        <f t="shared" si="0"/>
        <v>-</v>
      </c>
      <c r="F44">
        <v>-3.4000000000000002E-2</v>
      </c>
      <c r="G44">
        <v>-39.5</v>
      </c>
      <c r="H44" t="str">
        <f t="shared" si="1"/>
        <v>-</v>
      </c>
      <c r="I44" s="1">
        <v>0.35</v>
      </c>
      <c r="J44">
        <v>58.3</v>
      </c>
      <c r="K44" t="str">
        <f t="shared" si="2"/>
        <v>?</v>
      </c>
      <c r="L44">
        <v>0.03</v>
      </c>
      <c r="M44">
        <v>57.7</v>
      </c>
      <c r="N44" s="2" t="str">
        <f t="shared" si="3"/>
        <v>?</v>
      </c>
    </row>
    <row r="45" spans="1:14">
      <c r="A45" s="11" t="s">
        <v>8</v>
      </c>
      <c r="B45" s="13">
        <v>0.8</v>
      </c>
      <c r="C45">
        <v>-0.05</v>
      </c>
      <c r="D45">
        <v>-2</v>
      </c>
      <c r="E45" t="str">
        <f t="shared" si="0"/>
        <v>-</v>
      </c>
      <c r="F45">
        <v>1.7999999999999999E-2</v>
      </c>
      <c r="G45">
        <v>12.4</v>
      </c>
      <c r="H45" t="str">
        <f t="shared" si="1"/>
        <v>-</v>
      </c>
      <c r="I45" s="1">
        <v>0.08</v>
      </c>
      <c r="J45">
        <v>3.3</v>
      </c>
      <c r="K45" t="str">
        <f t="shared" si="2"/>
        <v>-</v>
      </c>
      <c r="L45">
        <v>1.0999999999999999E-2</v>
      </c>
      <c r="M45">
        <v>6.7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-0.16</v>
      </c>
      <c r="D46">
        <v>-6.8</v>
      </c>
      <c r="E46" t="str">
        <f t="shared" si="0"/>
        <v>-</v>
      </c>
      <c r="F46">
        <v>1.7000000000000001E-2</v>
      </c>
      <c r="G46">
        <v>17</v>
      </c>
      <c r="H46" t="str">
        <f t="shared" si="1"/>
        <v>-</v>
      </c>
      <c r="I46" s="1">
        <v>-0.02</v>
      </c>
      <c r="J46">
        <v>-0.9</v>
      </c>
      <c r="K46" t="str">
        <f t="shared" si="2"/>
        <v>-</v>
      </c>
      <c r="L46">
        <v>0.01</v>
      </c>
      <c r="M46">
        <v>8.5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-0.69</v>
      </c>
      <c r="D47">
        <v>-11.2</v>
      </c>
      <c r="E47" t="str">
        <f t="shared" si="0"/>
        <v>-</v>
      </c>
      <c r="F47">
        <v>-3.3000000000000002E-2</v>
      </c>
      <c r="G47">
        <v>-11</v>
      </c>
      <c r="H47" t="str">
        <f t="shared" si="1"/>
        <v>-</v>
      </c>
      <c r="I47" s="1">
        <v>-0.12</v>
      </c>
      <c r="J47">
        <v>-2.2000000000000002</v>
      </c>
      <c r="K47" t="str">
        <f t="shared" si="2"/>
        <v>-</v>
      </c>
      <c r="L47">
        <v>-0.01</v>
      </c>
      <c r="M47">
        <v>-3.8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-0.36</v>
      </c>
      <c r="D48">
        <v>-27.9</v>
      </c>
      <c r="E48" t="str">
        <f t="shared" si="0"/>
        <v>-</v>
      </c>
      <c r="F48">
        <v>-2.8000000000000001E-2</v>
      </c>
      <c r="G48">
        <v>-26.9</v>
      </c>
      <c r="H48" t="str">
        <f t="shared" si="1"/>
        <v>-</v>
      </c>
      <c r="I48" s="1">
        <v>0.31</v>
      </c>
      <c r="J48">
        <v>33.299999999999997</v>
      </c>
      <c r="K48" t="str">
        <f t="shared" si="2"/>
        <v>-</v>
      </c>
      <c r="L48">
        <v>-1.2E-2</v>
      </c>
      <c r="M48">
        <v>-15.8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0.13</v>
      </c>
      <c r="D49">
        <v>2.5</v>
      </c>
      <c r="E49" t="str">
        <f t="shared" si="0"/>
        <v>-</v>
      </c>
      <c r="F49">
        <v>0.09</v>
      </c>
      <c r="G49">
        <v>40.700000000000003</v>
      </c>
      <c r="H49" t="str">
        <f t="shared" si="1"/>
        <v>-</v>
      </c>
      <c r="I49" s="1">
        <v>-0.04</v>
      </c>
      <c r="J49">
        <v>-0.7</v>
      </c>
      <c r="K49" t="str">
        <f t="shared" si="2"/>
        <v>-</v>
      </c>
      <c r="L49">
        <v>-1.9E-2</v>
      </c>
      <c r="M49">
        <v>-6.1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-0.1</v>
      </c>
      <c r="D50">
        <v>-2.4</v>
      </c>
      <c r="E50" t="str">
        <f t="shared" si="0"/>
        <v>-</v>
      </c>
      <c r="F50">
        <v>2.7E-2</v>
      </c>
      <c r="G50">
        <v>17</v>
      </c>
      <c r="H50" t="str">
        <f t="shared" si="1"/>
        <v>-</v>
      </c>
      <c r="I50" s="1">
        <v>-0.04</v>
      </c>
      <c r="J50">
        <v>-1</v>
      </c>
      <c r="K50" t="str">
        <f t="shared" si="2"/>
        <v>-</v>
      </c>
      <c r="L50">
        <v>1E-3</v>
      </c>
      <c r="M50">
        <v>0.5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-0.86</v>
      </c>
      <c r="D51">
        <v>-8.1</v>
      </c>
      <c r="E51" t="str">
        <f t="shared" si="0"/>
        <v>-</v>
      </c>
      <c r="F51">
        <v>0.02</v>
      </c>
      <c r="G51">
        <v>5.0999999999999996</v>
      </c>
      <c r="H51" t="str">
        <f t="shared" si="1"/>
        <v>-</v>
      </c>
      <c r="I51" s="1">
        <v>-0.11</v>
      </c>
      <c r="J51">
        <v>-1.1000000000000001</v>
      </c>
      <c r="K51" t="str">
        <f t="shared" si="2"/>
        <v>-</v>
      </c>
      <c r="L51">
        <v>-1.0999999999999999E-2</v>
      </c>
      <c r="M51">
        <v>-2.7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-0.14000000000000001</v>
      </c>
      <c r="D52">
        <v>-5.4</v>
      </c>
      <c r="E52" t="str">
        <f t="shared" si="0"/>
        <v>-</v>
      </c>
      <c r="F52">
        <v>-5.0000000000000001E-3</v>
      </c>
      <c r="G52">
        <v>-6.7</v>
      </c>
      <c r="H52" t="str">
        <f t="shared" si="1"/>
        <v>-</v>
      </c>
      <c r="I52" s="1">
        <v>0.33</v>
      </c>
      <c r="J52">
        <v>13.4</v>
      </c>
      <c r="K52" t="str">
        <f t="shared" si="2"/>
        <v>-</v>
      </c>
      <c r="L52">
        <v>2.3E-2</v>
      </c>
      <c r="M52">
        <v>32.9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-0.24333333333333337</v>
      </c>
      <c r="D56">
        <f>AVERAGE(D$5:D$52)</f>
        <v>-12.233333333333334</v>
      </c>
      <c r="F56">
        <f>AVERAGE(F$5:F$52)</f>
        <v>-9.6666666666666689E-3</v>
      </c>
      <c r="G56">
        <f>AVERAGE(G$5:G$52)</f>
        <v>-6.3979166666666671</v>
      </c>
      <c r="I56" s="1">
        <f>AVERAGE(I$5:I$52)</f>
        <v>3.3541666666666657E-2</v>
      </c>
      <c r="J56">
        <f>AVERAGE(J$5:J$52)</f>
        <v>9.0062500000000032</v>
      </c>
      <c r="L56">
        <f>AVERAGE(L$5:L$52)</f>
        <v>5.0000000000000012E-4</v>
      </c>
      <c r="M56">
        <f>AVERAGE(M$5:M$52)</f>
        <v>2.7208333333333337</v>
      </c>
    </row>
    <row r="57" spans="1:15">
      <c r="B57" s="4" t="s">
        <v>19</v>
      </c>
      <c r="C57">
        <f>MEDIAN(C$5:C$52)</f>
        <v>-0.16</v>
      </c>
      <c r="D57">
        <f>MEDIAN(D$5:D$52)</f>
        <v>-7.55</v>
      </c>
      <c r="F57">
        <f>MEDIAN(F$5:F$52)</f>
        <v>-1.35E-2</v>
      </c>
      <c r="G57">
        <f>MEDIAN(G$5:G$52)</f>
        <v>-8.25</v>
      </c>
      <c r="I57" s="1">
        <f>MEDIAN(I$5:I$52)</f>
        <v>5.0000000000000001E-3</v>
      </c>
      <c r="J57">
        <f>MEDIAN(J$5:J$52)</f>
        <v>0.15</v>
      </c>
      <c r="L57">
        <f>MEDIAN(L$5:L$52)</f>
        <v>2E-3</v>
      </c>
      <c r="M57">
        <f>MEDIAN(M$5:M$52)</f>
        <v>1.45</v>
      </c>
    </row>
    <row r="58" spans="1:15">
      <c r="B58" s="4" t="s">
        <v>20</v>
      </c>
      <c r="C58">
        <f>STDEV(C$5:C$52)</f>
        <v>0.33211977673618104</v>
      </c>
      <c r="D58">
        <f>STDEV(D$5:D$52)</f>
        <v>15.547515821730185</v>
      </c>
      <c r="F58">
        <f>STDEV(F$5:F$52)</f>
        <v>2.7748362676123323E-2</v>
      </c>
      <c r="G58">
        <f>STDEV(G$5:G$52)</f>
        <v>23.434794004545054</v>
      </c>
      <c r="I58" s="1">
        <f>STDEV(I$5:I$52)</f>
        <v>0.18840302639450862</v>
      </c>
      <c r="J58">
        <f>STDEV(J$5:J$52)</f>
        <v>21.921731239386979</v>
      </c>
      <c r="L58">
        <f>STDEV(L$5:L$52)</f>
        <v>1.0931118959289011E-2</v>
      </c>
      <c r="M58">
        <f>STDEV(M$5:M$52)</f>
        <v>14.315442611498973</v>
      </c>
    </row>
    <row r="59" spans="1:15">
      <c r="B59" s="4" t="s">
        <v>21</v>
      </c>
      <c r="C59">
        <f>COUNTIF(C$5:C$52, "&lt;0")</f>
        <v>38</v>
      </c>
      <c r="D59">
        <f>COUNTIF(D$5:D$52, "&lt;0")</f>
        <v>38</v>
      </c>
      <c r="F59">
        <f>COUNTIF(F$5:F$52, "&lt;0")</f>
        <v>34</v>
      </c>
      <c r="G59">
        <f>COUNTIF(G$5:G$52, "&lt;0")</f>
        <v>34</v>
      </c>
      <c r="I59" s="1">
        <f>COUNTIF(I$5:I$52, "&lt;0")</f>
        <v>23</v>
      </c>
      <c r="J59">
        <f>COUNTIF(J$5:J$52, "&lt;0")</f>
        <v>23</v>
      </c>
      <c r="L59">
        <f>COUNTIF(L$5:L$52, "&lt;0")</f>
        <v>17</v>
      </c>
      <c r="M59">
        <f>COUNTIF(M$5:M$52, "&lt;0")</f>
        <v>17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-0.22541666666666674</v>
      </c>
      <c r="D63">
        <f>AVERAGE(D$5:D$28)</f>
        <v>-11.225</v>
      </c>
      <c r="F63">
        <f>AVERAGE(F$5:F$28)</f>
        <v>-1.0500000000000001E-2</v>
      </c>
      <c r="G63">
        <f>AVERAGE(G$5:G$28)</f>
        <v>-5.4708333333333341</v>
      </c>
      <c r="I63" s="1">
        <f>AVERAGE(I$5:I$28)</f>
        <v>4.5000000000000005E-2</v>
      </c>
      <c r="J63">
        <f>AVERAGE(J$5:J$28)</f>
        <v>12.804166666666669</v>
      </c>
      <c r="L63">
        <f>AVERAGE(L$5:L$28)</f>
        <v>-2.9166666666666658E-4</v>
      </c>
      <c r="M63">
        <f>AVERAGE(M$5:M$28)</f>
        <v>1.8166666666666667</v>
      </c>
    </row>
    <row r="64" spans="1:15">
      <c r="B64" s="4" t="s">
        <v>19</v>
      </c>
      <c r="C64">
        <f>MEDIAN(C$5:C$28)</f>
        <v>-0.11499999999999999</v>
      </c>
      <c r="D64">
        <f>MEDIAN(D$5:D$28)</f>
        <v>-6.9499999999999993</v>
      </c>
      <c r="F64">
        <f>MEDIAN(F$5:F$28)</f>
        <v>-1.2E-2</v>
      </c>
      <c r="G64">
        <f>MEDIAN(G$5:G$28)</f>
        <v>-7.45</v>
      </c>
      <c r="I64" s="1">
        <f>MEDIAN(I$5:I$28)</f>
        <v>0.03</v>
      </c>
      <c r="J64">
        <f>MEDIAN(J$5:J$28)</f>
        <v>1.65</v>
      </c>
      <c r="L64">
        <f>MEDIAN(L$5:L$28)</f>
        <v>2E-3</v>
      </c>
      <c r="M64">
        <f>MEDIAN(M$5:M$28)</f>
        <v>1.2</v>
      </c>
    </row>
    <row r="65" spans="2:13">
      <c r="B65" s="4" t="s">
        <v>20</v>
      </c>
      <c r="C65">
        <f>STDEV(C$5:C$28)</f>
        <v>0.39790734301240077</v>
      </c>
      <c r="D65">
        <f>STDEV(D$5:D$28)</f>
        <v>16.767625379568965</v>
      </c>
      <c r="F65">
        <f>STDEV(F$5:F$28)</f>
        <v>2.5125770591687073E-2</v>
      </c>
      <c r="G65">
        <f>STDEV(G$5:G$28)</f>
        <v>25.82966745845739</v>
      </c>
      <c r="I65" s="1">
        <f>STDEV(I$5:I$28)</f>
        <v>0.2320232372170849</v>
      </c>
      <c r="J65">
        <f>STDEV(J$5:J$28)</f>
        <v>26.76824009038009</v>
      </c>
      <c r="L65">
        <f>STDEV(L$5:L$28)</f>
        <v>9.7645283804571759E-3</v>
      </c>
      <c r="M65">
        <f>STDEV(M$5:M$28)</f>
        <v>9.8974597824354689</v>
      </c>
    </row>
    <row r="66" spans="2:13">
      <c r="B66" s="4" t="s">
        <v>21</v>
      </c>
      <c r="C66">
        <f>COUNTIF(C$5:C$28, "&lt;0")</f>
        <v>17</v>
      </c>
      <c r="D66">
        <f>COUNTIF(D$5:D$28, "&lt;0")</f>
        <v>17</v>
      </c>
      <c r="F66">
        <f>COUNTIF(F$5:F$28, "&lt;0")</f>
        <v>17</v>
      </c>
      <c r="G66">
        <f>COUNTIF(G$5:G$28, "&lt;0")</f>
        <v>17</v>
      </c>
      <c r="I66" s="1">
        <f>COUNTIF(I$5:I$28, "&lt;0")</f>
        <v>8</v>
      </c>
      <c r="J66">
        <f>COUNTIF(J$5:J$28, "&lt;0")</f>
        <v>8</v>
      </c>
      <c r="L66">
        <f>COUNTIF(L$5:L$28, "&lt;0")</f>
        <v>9</v>
      </c>
      <c r="M66">
        <f>COUNTIF(M$5:M$28, "&lt;0")</f>
        <v>9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-0.26124999999999998</v>
      </c>
      <c r="D70">
        <f>AVERAGE(D$29:D$52)</f>
        <v>-13.241666666666665</v>
      </c>
      <c r="F70">
        <f>AVERAGE(F$29:F$52)</f>
        <v>-8.8333333333333389E-3</v>
      </c>
      <c r="G70">
        <f>AVERAGE(G$29:G$52)</f>
        <v>-7.3249999999999993</v>
      </c>
      <c r="I70" s="1">
        <f>AVERAGE(I$29:I$52)</f>
        <v>2.2083333333333333E-2</v>
      </c>
      <c r="J70">
        <f>AVERAGE(J$29:J$52)</f>
        <v>5.208333333333333</v>
      </c>
      <c r="L70">
        <f>AVERAGE(L$29:L$52)</f>
        <v>1.2916666666666669E-3</v>
      </c>
      <c r="M70">
        <f>AVERAGE(M$29:M$52)</f>
        <v>3.625</v>
      </c>
    </row>
    <row r="71" spans="2:13">
      <c r="B71" s="4" t="s">
        <v>19</v>
      </c>
      <c r="C71">
        <f>MEDIAN(C$29:C$52)</f>
        <v>-0.19500000000000001</v>
      </c>
      <c r="D71">
        <f>MEDIAN(D$29:D$52)</f>
        <v>-9.0500000000000007</v>
      </c>
      <c r="F71">
        <f>MEDIAN(F$29:F$52)</f>
        <v>-1.35E-2</v>
      </c>
      <c r="G71">
        <f>MEDIAN(G$29:G$52)</f>
        <v>-9.25</v>
      </c>
      <c r="I71" s="1">
        <f>MEDIAN(I$29:I$52)</f>
        <v>-0.03</v>
      </c>
      <c r="J71">
        <f>MEDIAN(J$29:J$52)</f>
        <v>-1.05</v>
      </c>
      <c r="L71">
        <f>MEDIAN(L$29:L$52)</f>
        <v>1.5E-3</v>
      </c>
      <c r="M71">
        <f>MEDIAN(M$29:M$52)</f>
        <v>1.8</v>
      </c>
    </row>
    <row r="72" spans="2:13">
      <c r="B72" s="4" t="s">
        <v>20</v>
      </c>
      <c r="C72">
        <f>STDEV(C$29:C$52)</f>
        <v>0.25768724724228081</v>
      </c>
      <c r="D72">
        <f>STDEV(D$29:D$52)</f>
        <v>14.514997241733681</v>
      </c>
      <c r="F72">
        <f>STDEV(F$29:F$52)</f>
        <v>3.0670289641062515E-2</v>
      </c>
      <c r="G72">
        <f>STDEV(G$29:G$52)</f>
        <v>21.290643995406302</v>
      </c>
      <c r="I72" s="1">
        <f>STDEV(I$29:I$52)</f>
        <v>0.13574205611048276</v>
      </c>
      <c r="J72">
        <f>STDEV(J$29:J$52)</f>
        <v>15.342011564347739</v>
      </c>
      <c r="L72">
        <f>STDEV(L$29:L$52)</f>
        <v>1.2145778177466929E-2</v>
      </c>
      <c r="M72">
        <f>STDEV(M$29:M$52)</f>
        <v>17.863595480145111</v>
      </c>
    </row>
    <row r="73" spans="2:13">
      <c r="B73" s="4" t="s">
        <v>21</v>
      </c>
      <c r="C73">
        <f>COUNTIF(C$29:C$52, "&lt;0")</f>
        <v>21</v>
      </c>
      <c r="D73">
        <f>COUNTIF(D$29:D$52, "&lt;0")</f>
        <v>21</v>
      </c>
      <c r="F73">
        <f>COUNTIF(F$29:F$52, "&lt;0")</f>
        <v>17</v>
      </c>
      <c r="G73">
        <f>COUNTIF(G$29:G$52, "&lt;0")</f>
        <v>17</v>
      </c>
      <c r="I73" s="1">
        <f>COUNTIF(I$29:I$52, "&lt;0")</f>
        <v>15</v>
      </c>
      <c r="J73">
        <f>COUNTIF(J$29:J$52, "&lt;0")</f>
        <v>15</v>
      </c>
      <c r="L73">
        <f>COUNTIF(L$29:L$52, "&lt;0")</f>
        <v>8</v>
      </c>
      <c r="M73">
        <f>COUNTIF(M$29:M$52, "&lt;0")</f>
        <v>8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4709-F8B2-4B3D-8E4B-2DF5CC31CC23}">
  <dimension ref="A1:O73"/>
  <sheetViews>
    <sheetView workbookViewId="0"/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24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0.1</v>
      </c>
      <c r="D5">
        <v>6.5</v>
      </c>
      <c r="E5" t="str">
        <f>IF(ABS(D5)&gt;50,"?","-")</f>
        <v>-</v>
      </c>
      <c r="F5">
        <v>1.4999999999999999E-2</v>
      </c>
      <c r="G5">
        <v>10.5</v>
      </c>
      <c r="H5" t="str">
        <f>IF(ABS(G5)&gt;50,"?","-")</f>
        <v>-</v>
      </c>
      <c r="I5" s="1">
        <v>-0.05</v>
      </c>
      <c r="J5">
        <v>-3</v>
      </c>
      <c r="K5" t="str">
        <f>IF(ABS(J5)&gt;50,"?","-")</f>
        <v>-</v>
      </c>
      <c r="L5">
        <v>-1.2999999999999999E-2</v>
      </c>
      <c r="M5">
        <v>-8.1999999999999993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-0.02</v>
      </c>
      <c r="D6">
        <v>-1.5</v>
      </c>
      <c r="E6" t="str">
        <f t="shared" ref="E6:E52" si="0">IF(ABS(D6)&gt;50,"?","-")</f>
        <v>-</v>
      </c>
      <c r="F6">
        <v>-2E-3</v>
      </c>
      <c r="G6">
        <v>-1.9</v>
      </c>
      <c r="H6" t="str">
        <f t="shared" ref="H6:H52" si="1">IF(ABS(G6)&gt;50,"?","-")</f>
        <v>-</v>
      </c>
      <c r="I6" s="1">
        <v>0</v>
      </c>
      <c r="J6">
        <v>0</v>
      </c>
      <c r="K6" t="str">
        <f t="shared" ref="K6:K52" si="2">IF(ABS(J6)&gt;50,"?","-")</f>
        <v>-</v>
      </c>
      <c r="L6">
        <v>0</v>
      </c>
      <c r="M6">
        <v>0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-0.6</v>
      </c>
      <c r="D7">
        <v>-12.5</v>
      </c>
      <c r="E7" t="str">
        <f t="shared" si="0"/>
        <v>-</v>
      </c>
      <c r="F7">
        <v>-2.5000000000000001E-2</v>
      </c>
      <c r="G7">
        <v>-8.1</v>
      </c>
      <c r="H7" t="str">
        <f t="shared" si="1"/>
        <v>-</v>
      </c>
      <c r="I7" s="1">
        <v>-0.06</v>
      </c>
      <c r="J7">
        <v>-1.4</v>
      </c>
      <c r="K7" t="str">
        <f t="shared" si="2"/>
        <v>-</v>
      </c>
      <c r="L7">
        <v>-0.01</v>
      </c>
      <c r="M7">
        <v>-3.5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-0.32</v>
      </c>
      <c r="D8">
        <v>-22.1</v>
      </c>
      <c r="E8" t="str">
        <f t="shared" si="0"/>
        <v>-</v>
      </c>
      <c r="F8">
        <v>-1.2E-2</v>
      </c>
      <c r="G8">
        <v>-9.1</v>
      </c>
      <c r="H8" t="str">
        <f t="shared" si="1"/>
        <v>-</v>
      </c>
      <c r="I8" s="1">
        <v>0.35</v>
      </c>
      <c r="J8">
        <v>31</v>
      </c>
      <c r="K8" t="str">
        <f t="shared" si="2"/>
        <v>-</v>
      </c>
      <c r="L8">
        <v>2.9000000000000001E-2</v>
      </c>
      <c r="M8">
        <v>24.2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-0.12</v>
      </c>
      <c r="D9">
        <v>-8.3000000000000007</v>
      </c>
      <c r="E9" t="str">
        <f t="shared" si="0"/>
        <v>-</v>
      </c>
      <c r="F9">
        <v>-5.0000000000000001E-3</v>
      </c>
      <c r="G9">
        <v>-4.2</v>
      </c>
      <c r="H9" t="str">
        <f t="shared" si="1"/>
        <v>-</v>
      </c>
      <c r="I9" s="1">
        <v>0.03</v>
      </c>
      <c r="J9">
        <v>2.2999999999999998</v>
      </c>
      <c r="K9" t="str">
        <f t="shared" si="2"/>
        <v>-</v>
      </c>
      <c r="L9">
        <v>1E-3</v>
      </c>
      <c r="M9">
        <v>0.9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-0.09</v>
      </c>
      <c r="D10">
        <v>-7.1</v>
      </c>
      <c r="E10" t="str">
        <f t="shared" si="0"/>
        <v>-</v>
      </c>
      <c r="F10">
        <v>8.0000000000000002E-3</v>
      </c>
      <c r="G10">
        <v>8.1999999999999993</v>
      </c>
      <c r="H10" t="str">
        <f t="shared" si="1"/>
        <v>-</v>
      </c>
      <c r="I10" s="1">
        <v>0.12</v>
      </c>
      <c r="J10">
        <v>10.199999999999999</v>
      </c>
      <c r="K10" t="str">
        <f t="shared" si="2"/>
        <v>-</v>
      </c>
      <c r="L10">
        <v>1E-3</v>
      </c>
      <c r="M10">
        <v>1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0.74</v>
      </c>
      <c r="D11">
        <v>24.2</v>
      </c>
      <c r="E11" t="str">
        <f t="shared" si="0"/>
        <v>-</v>
      </c>
      <c r="F11">
        <v>0</v>
      </c>
      <c r="G11">
        <v>0</v>
      </c>
      <c r="H11" t="str">
        <f t="shared" si="1"/>
        <v>-</v>
      </c>
      <c r="I11" s="1">
        <v>-0.05</v>
      </c>
      <c r="J11">
        <v>-1.3</v>
      </c>
      <c r="K11" t="str">
        <f t="shared" si="2"/>
        <v>-</v>
      </c>
      <c r="L11">
        <v>3.0000000000000001E-3</v>
      </c>
      <c r="M11">
        <v>1.3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-0.35</v>
      </c>
      <c r="D12">
        <v>-32.1</v>
      </c>
      <c r="E12" t="str">
        <f t="shared" si="0"/>
        <v>-</v>
      </c>
      <c r="F12">
        <v>-7.0000000000000001E-3</v>
      </c>
      <c r="G12">
        <v>-7</v>
      </c>
      <c r="H12" t="str">
        <f t="shared" si="1"/>
        <v>-</v>
      </c>
      <c r="I12" s="1">
        <v>0.27</v>
      </c>
      <c r="J12">
        <v>36.5</v>
      </c>
      <c r="K12" t="str">
        <f t="shared" si="2"/>
        <v>-</v>
      </c>
      <c r="L12">
        <v>-2E-3</v>
      </c>
      <c r="M12">
        <v>-2.2000000000000002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-0.09</v>
      </c>
      <c r="D13">
        <v>-6.6</v>
      </c>
      <c r="E13" t="str">
        <f t="shared" si="0"/>
        <v>-</v>
      </c>
      <c r="F13">
        <v>-2.1999999999999999E-2</v>
      </c>
      <c r="G13">
        <v>-15.3</v>
      </c>
      <c r="H13" t="str">
        <f t="shared" si="1"/>
        <v>-</v>
      </c>
      <c r="I13" s="1">
        <v>-0.03</v>
      </c>
      <c r="J13">
        <v>-2.2999999999999998</v>
      </c>
      <c r="K13" t="str">
        <f t="shared" si="2"/>
        <v>-</v>
      </c>
      <c r="L13">
        <v>4.0000000000000001E-3</v>
      </c>
      <c r="M13">
        <v>3.3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-0.16</v>
      </c>
      <c r="D14">
        <v>-13.2</v>
      </c>
      <c r="E14" t="str">
        <f t="shared" si="0"/>
        <v>-</v>
      </c>
      <c r="F14">
        <v>-0.02</v>
      </c>
      <c r="G14">
        <v>-19.399999999999999</v>
      </c>
      <c r="H14" t="str">
        <f t="shared" si="1"/>
        <v>-</v>
      </c>
      <c r="I14" s="1">
        <v>0.14000000000000001</v>
      </c>
      <c r="J14">
        <v>13.3</v>
      </c>
      <c r="K14" t="str">
        <f t="shared" si="2"/>
        <v>-</v>
      </c>
      <c r="L14">
        <v>1.2999999999999999E-2</v>
      </c>
      <c r="M14">
        <v>15.7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-0.54</v>
      </c>
      <c r="D15">
        <v>-15.5</v>
      </c>
      <c r="E15" t="str">
        <f t="shared" si="0"/>
        <v>-</v>
      </c>
      <c r="F15">
        <v>-3.4000000000000002E-2</v>
      </c>
      <c r="G15">
        <v>-13.9</v>
      </c>
      <c r="H15" t="str">
        <f t="shared" si="1"/>
        <v>-</v>
      </c>
      <c r="I15" s="1">
        <v>-0.06</v>
      </c>
      <c r="J15">
        <v>-2</v>
      </c>
      <c r="K15" t="str">
        <f t="shared" si="2"/>
        <v>-</v>
      </c>
      <c r="L15">
        <v>0</v>
      </c>
      <c r="M15">
        <v>0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-0.04</v>
      </c>
      <c r="D16">
        <v>-4.8</v>
      </c>
      <c r="E16" t="str">
        <f t="shared" si="0"/>
        <v>-</v>
      </c>
      <c r="F16">
        <v>0</v>
      </c>
      <c r="G16">
        <v>0</v>
      </c>
      <c r="H16" t="str">
        <f t="shared" si="1"/>
        <v>-</v>
      </c>
      <c r="I16" s="1">
        <v>-0.02</v>
      </c>
      <c r="J16">
        <v>-2.5</v>
      </c>
      <c r="K16" t="str">
        <f t="shared" si="2"/>
        <v>-</v>
      </c>
      <c r="L16">
        <v>-3.7999999999999999E-2</v>
      </c>
      <c r="M16">
        <v>-33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-0.09</v>
      </c>
      <c r="D17">
        <v>-7.5</v>
      </c>
      <c r="E17" t="str">
        <f t="shared" si="0"/>
        <v>-</v>
      </c>
      <c r="F17">
        <v>-0.01</v>
      </c>
      <c r="G17">
        <v>-7.8</v>
      </c>
      <c r="H17" t="str">
        <f t="shared" si="1"/>
        <v>-</v>
      </c>
      <c r="I17" s="1">
        <v>0.05</v>
      </c>
      <c r="J17">
        <v>4.5</v>
      </c>
      <c r="K17" t="str">
        <f t="shared" si="2"/>
        <v>-</v>
      </c>
      <c r="L17">
        <v>-4.0000000000000001E-3</v>
      </c>
      <c r="M17">
        <v>-3.4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-0.26</v>
      </c>
      <c r="D18">
        <v>-23</v>
      </c>
      <c r="E18" t="str">
        <f t="shared" si="0"/>
        <v>-</v>
      </c>
      <c r="F18">
        <v>-2.7E-2</v>
      </c>
      <c r="G18">
        <v>-27.8</v>
      </c>
      <c r="H18" t="str">
        <f t="shared" si="1"/>
        <v>-</v>
      </c>
      <c r="I18" s="1">
        <v>0.01</v>
      </c>
      <c r="J18">
        <v>1.1000000000000001</v>
      </c>
      <c r="K18" t="str">
        <f t="shared" si="2"/>
        <v>-</v>
      </c>
      <c r="L18">
        <v>-6.0000000000000001E-3</v>
      </c>
      <c r="M18">
        <v>-8.6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-0.04</v>
      </c>
      <c r="D19">
        <v>-1.4</v>
      </c>
      <c r="E19" t="str">
        <f t="shared" si="0"/>
        <v>-</v>
      </c>
      <c r="F19">
        <v>-2.7E-2</v>
      </c>
      <c r="G19">
        <v>-14.1</v>
      </c>
      <c r="H19" t="str">
        <f t="shared" si="1"/>
        <v>-</v>
      </c>
      <c r="I19" s="1">
        <v>-0.36</v>
      </c>
      <c r="J19">
        <v>-13.1</v>
      </c>
      <c r="K19" t="str">
        <f t="shared" si="2"/>
        <v>-</v>
      </c>
      <c r="L19">
        <v>-2E-3</v>
      </c>
      <c r="M19">
        <v>-1.2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-0.12</v>
      </c>
      <c r="D20">
        <v>-14.8</v>
      </c>
      <c r="E20" t="str">
        <f t="shared" si="0"/>
        <v>-</v>
      </c>
      <c r="F20">
        <v>0</v>
      </c>
      <c r="G20">
        <v>0</v>
      </c>
      <c r="H20" t="str">
        <f t="shared" si="1"/>
        <v>-</v>
      </c>
      <c r="I20" s="1">
        <v>0.02</v>
      </c>
      <c r="J20">
        <v>2.9</v>
      </c>
      <c r="K20" t="str">
        <f t="shared" si="2"/>
        <v>-</v>
      </c>
      <c r="L20">
        <v>2E-3</v>
      </c>
      <c r="M20">
        <v>2.1</v>
      </c>
      <c r="N20" s="2" t="str">
        <f t="shared" si="3"/>
        <v>-</v>
      </c>
    </row>
    <row r="21" spans="1:14">
      <c r="A21" s="11" t="s">
        <v>8</v>
      </c>
      <c r="B21" s="12" t="s">
        <v>16</v>
      </c>
      <c r="C21">
        <v>-0.11</v>
      </c>
      <c r="D21">
        <v>-9.5</v>
      </c>
      <c r="E21" t="str">
        <f t="shared" si="0"/>
        <v>-</v>
      </c>
      <c r="F21">
        <v>-2.1999999999999999E-2</v>
      </c>
      <c r="G21">
        <v>-19.5</v>
      </c>
      <c r="H21" t="str">
        <f t="shared" si="1"/>
        <v>-</v>
      </c>
      <c r="I21" s="1">
        <v>0.03</v>
      </c>
      <c r="J21">
        <v>2.9</v>
      </c>
      <c r="K21" t="str">
        <f t="shared" si="2"/>
        <v>-</v>
      </c>
      <c r="L21">
        <v>1.2E-2</v>
      </c>
      <c r="M21">
        <v>13.2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0.09</v>
      </c>
      <c r="D22">
        <v>9.3000000000000007</v>
      </c>
      <c r="E22" t="str">
        <f t="shared" si="0"/>
        <v>-</v>
      </c>
      <c r="F22">
        <v>-2.8000000000000001E-2</v>
      </c>
      <c r="G22">
        <v>-23.9</v>
      </c>
      <c r="H22" t="str">
        <f t="shared" si="1"/>
        <v>-</v>
      </c>
      <c r="I22" s="1">
        <v>-0.01</v>
      </c>
      <c r="J22">
        <v>-0.9</v>
      </c>
      <c r="K22" t="str">
        <f t="shared" si="2"/>
        <v>-</v>
      </c>
      <c r="L22">
        <v>1.6E-2</v>
      </c>
      <c r="M22">
        <v>18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-0.35</v>
      </c>
      <c r="D23">
        <v>-10.7</v>
      </c>
      <c r="E23" t="str">
        <f t="shared" si="0"/>
        <v>-</v>
      </c>
      <c r="F23">
        <v>-2.1999999999999999E-2</v>
      </c>
      <c r="G23">
        <v>-10.7</v>
      </c>
      <c r="H23" t="str">
        <f t="shared" si="1"/>
        <v>-</v>
      </c>
      <c r="I23" s="1">
        <v>-0.01</v>
      </c>
      <c r="J23">
        <v>-0.3</v>
      </c>
      <c r="K23" t="str">
        <f t="shared" si="2"/>
        <v>-</v>
      </c>
      <c r="L23">
        <v>5.0000000000000001E-3</v>
      </c>
      <c r="M23">
        <v>2.7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0.08</v>
      </c>
      <c r="D24">
        <v>11.8</v>
      </c>
      <c r="E24" t="str">
        <f t="shared" si="0"/>
        <v>-</v>
      </c>
      <c r="F24">
        <v>3.3000000000000002E-2</v>
      </c>
      <c r="G24">
        <v>50</v>
      </c>
      <c r="H24" t="str">
        <f t="shared" si="1"/>
        <v>-</v>
      </c>
      <c r="I24" s="1">
        <v>-0.1</v>
      </c>
      <c r="J24">
        <v>-13.2</v>
      </c>
      <c r="K24" t="str">
        <f t="shared" si="2"/>
        <v>-</v>
      </c>
      <c r="L24">
        <v>-1.7999999999999999E-2</v>
      </c>
      <c r="M24">
        <v>-18.2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-0.19</v>
      </c>
      <c r="D25">
        <v>-11</v>
      </c>
      <c r="E25" t="str">
        <f t="shared" si="0"/>
        <v>-</v>
      </c>
      <c r="F25">
        <v>-1.7000000000000001E-2</v>
      </c>
      <c r="G25">
        <v>-13.5</v>
      </c>
      <c r="H25" t="str">
        <f t="shared" si="1"/>
        <v>-</v>
      </c>
      <c r="I25" s="1">
        <v>0.14000000000000001</v>
      </c>
      <c r="J25">
        <v>9.1999999999999993</v>
      </c>
      <c r="K25" t="str">
        <f t="shared" si="2"/>
        <v>-</v>
      </c>
      <c r="L25">
        <v>5.0000000000000001E-3</v>
      </c>
      <c r="M25">
        <v>4.5999999999999996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0.05</v>
      </c>
      <c r="D26">
        <v>4</v>
      </c>
      <c r="E26" t="str">
        <f t="shared" si="0"/>
        <v>-</v>
      </c>
      <c r="F26">
        <v>6.0000000000000001E-3</v>
      </c>
      <c r="G26">
        <v>5.6</v>
      </c>
      <c r="H26" t="str">
        <f t="shared" si="1"/>
        <v>-</v>
      </c>
      <c r="I26" s="1">
        <v>-0.05</v>
      </c>
      <c r="J26">
        <v>-3.8</v>
      </c>
      <c r="K26" t="str">
        <f t="shared" si="2"/>
        <v>-</v>
      </c>
      <c r="L26">
        <v>-5.0000000000000001E-3</v>
      </c>
      <c r="M26">
        <v>-4.4000000000000004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0.34</v>
      </c>
      <c r="D27">
        <v>11.5</v>
      </c>
      <c r="E27" t="str">
        <f t="shared" si="0"/>
        <v>-</v>
      </c>
      <c r="F27">
        <v>-8.0000000000000002E-3</v>
      </c>
      <c r="G27">
        <v>-5.0999999999999996</v>
      </c>
      <c r="H27" t="str">
        <f t="shared" si="1"/>
        <v>-</v>
      </c>
      <c r="I27" s="1">
        <v>0.3</v>
      </c>
      <c r="J27">
        <v>9.1</v>
      </c>
      <c r="K27" t="str">
        <f t="shared" si="2"/>
        <v>-</v>
      </c>
      <c r="L27">
        <v>-8.9999999999999993E-3</v>
      </c>
      <c r="M27">
        <v>-6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-0.02</v>
      </c>
      <c r="D28">
        <v>-2.7</v>
      </c>
      <c r="E28" t="str">
        <f t="shared" si="0"/>
        <v>-</v>
      </c>
      <c r="F28">
        <v>-1.0999999999999999E-2</v>
      </c>
      <c r="G28">
        <v>-12.8</v>
      </c>
      <c r="H28" t="str">
        <f t="shared" si="1"/>
        <v>-</v>
      </c>
      <c r="I28" s="1">
        <v>0.04</v>
      </c>
      <c r="J28">
        <v>5.6</v>
      </c>
      <c r="K28" t="str">
        <f t="shared" si="2"/>
        <v>-</v>
      </c>
      <c r="L28">
        <v>1.4999999999999999E-2</v>
      </c>
      <c r="M28">
        <v>20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-7.0000000000000007E-2</v>
      </c>
      <c r="D29">
        <v>-6.2</v>
      </c>
      <c r="E29" t="str">
        <f t="shared" si="0"/>
        <v>-</v>
      </c>
      <c r="F29">
        <v>-1.4E-2</v>
      </c>
      <c r="G29">
        <v>-13.5</v>
      </c>
      <c r="H29" t="str">
        <f t="shared" si="1"/>
        <v>-</v>
      </c>
      <c r="I29" s="1">
        <v>-0.14000000000000001</v>
      </c>
      <c r="J29">
        <v>-13.2</v>
      </c>
      <c r="K29" t="str">
        <f t="shared" si="2"/>
        <v>-</v>
      </c>
      <c r="L29">
        <v>4.0000000000000001E-3</v>
      </c>
      <c r="M29">
        <v>4.4000000000000004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-0.19</v>
      </c>
      <c r="D30">
        <v>-16.399999999999999</v>
      </c>
      <c r="E30" t="str">
        <f t="shared" si="0"/>
        <v>-</v>
      </c>
      <c r="F30">
        <v>-3.7999999999999999E-2</v>
      </c>
      <c r="G30">
        <v>-30.4</v>
      </c>
      <c r="H30" t="str">
        <f t="shared" si="1"/>
        <v>-</v>
      </c>
      <c r="I30" s="1">
        <v>0.12</v>
      </c>
      <c r="J30">
        <v>12.4</v>
      </c>
      <c r="K30" t="str">
        <f t="shared" si="2"/>
        <v>-</v>
      </c>
      <c r="L30">
        <v>1.7000000000000001E-2</v>
      </c>
      <c r="M30">
        <v>19.5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-0.06</v>
      </c>
      <c r="D31">
        <v>-3.3</v>
      </c>
      <c r="E31" t="str">
        <f t="shared" si="0"/>
        <v>-</v>
      </c>
      <c r="F31">
        <v>-3.4000000000000002E-2</v>
      </c>
      <c r="G31">
        <v>-21.9</v>
      </c>
      <c r="H31" t="str">
        <f t="shared" si="1"/>
        <v>-</v>
      </c>
      <c r="I31" s="1">
        <v>-0.34</v>
      </c>
      <c r="J31">
        <v>-19.399999999999999</v>
      </c>
      <c r="K31" t="str">
        <f t="shared" si="2"/>
        <v>-</v>
      </c>
      <c r="L31">
        <v>-1.4E-2</v>
      </c>
      <c r="M31">
        <v>-11.6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-0.22</v>
      </c>
      <c r="D32">
        <v>-21.8</v>
      </c>
      <c r="E32" t="str">
        <f t="shared" si="0"/>
        <v>-</v>
      </c>
      <c r="F32">
        <v>-4.1000000000000002E-2</v>
      </c>
      <c r="G32">
        <v>-34.5</v>
      </c>
      <c r="H32" t="str">
        <f t="shared" si="1"/>
        <v>-</v>
      </c>
      <c r="I32" s="1">
        <v>0.05</v>
      </c>
      <c r="J32">
        <v>6.3</v>
      </c>
      <c r="K32" t="str">
        <f t="shared" si="2"/>
        <v>-</v>
      </c>
      <c r="L32">
        <v>-5.0000000000000001E-3</v>
      </c>
      <c r="M32">
        <v>-6.4</v>
      </c>
      <c r="N32" s="2" t="str">
        <f t="shared" si="3"/>
        <v>-</v>
      </c>
    </row>
    <row r="33" spans="1:14">
      <c r="A33" s="11" t="s">
        <v>8</v>
      </c>
      <c r="B33" s="13">
        <v>0.5</v>
      </c>
      <c r="C33">
        <v>0.06</v>
      </c>
      <c r="D33">
        <v>5.5</v>
      </c>
      <c r="E33" t="str">
        <f t="shared" si="0"/>
        <v>-</v>
      </c>
      <c r="F33">
        <v>-4.0000000000000001E-3</v>
      </c>
      <c r="G33">
        <v>-3.8</v>
      </c>
      <c r="H33" t="str">
        <f t="shared" si="1"/>
        <v>-</v>
      </c>
      <c r="I33" s="1">
        <v>-0.09</v>
      </c>
      <c r="J33">
        <v>-7.8</v>
      </c>
      <c r="K33" t="str">
        <f t="shared" si="2"/>
        <v>-</v>
      </c>
      <c r="L33">
        <v>4.0000000000000001E-3</v>
      </c>
      <c r="M33">
        <v>4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-0.03</v>
      </c>
      <c r="D34">
        <v>-3.1</v>
      </c>
      <c r="E34" t="str">
        <f t="shared" si="0"/>
        <v>-</v>
      </c>
      <c r="F34">
        <v>-8.9999999999999993E-3</v>
      </c>
      <c r="G34">
        <v>-9.1999999999999993</v>
      </c>
      <c r="H34" t="str">
        <f t="shared" si="1"/>
        <v>-</v>
      </c>
      <c r="I34" s="1">
        <v>-0.1</v>
      </c>
      <c r="J34">
        <v>-10.6</v>
      </c>
      <c r="K34" t="str">
        <f t="shared" si="2"/>
        <v>-</v>
      </c>
      <c r="L34">
        <v>-3.0000000000000001E-3</v>
      </c>
      <c r="M34">
        <v>-3.4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-0.16</v>
      </c>
      <c r="D35">
        <v>-6.6</v>
      </c>
      <c r="E35" t="str">
        <f t="shared" si="0"/>
        <v>-</v>
      </c>
      <c r="F35">
        <v>3.0000000000000001E-3</v>
      </c>
      <c r="G35">
        <v>2.1</v>
      </c>
      <c r="H35" t="str">
        <f t="shared" si="1"/>
        <v>-</v>
      </c>
      <c r="I35" s="1">
        <v>-0.22</v>
      </c>
      <c r="J35">
        <v>-9.6999999999999993</v>
      </c>
      <c r="K35" t="str">
        <f t="shared" si="2"/>
        <v>-</v>
      </c>
      <c r="L35">
        <v>-7.0000000000000001E-3</v>
      </c>
      <c r="M35">
        <v>-4.8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-0.36</v>
      </c>
      <c r="D36">
        <v>-35.6</v>
      </c>
      <c r="E36" t="str">
        <f t="shared" si="0"/>
        <v>-</v>
      </c>
      <c r="F36">
        <v>-2.4E-2</v>
      </c>
      <c r="G36">
        <v>-22.4</v>
      </c>
      <c r="H36" t="str">
        <f t="shared" si="1"/>
        <v>-</v>
      </c>
      <c r="I36" s="1">
        <v>7.0000000000000007E-2</v>
      </c>
      <c r="J36">
        <v>10.8</v>
      </c>
      <c r="K36" t="str">
        <f t="shared" si="2"/>
        <v>-</v>
      </c>
      <c r="L36">
        <v>1E-3</v>
      </c>
      <c r="M36">
        <v>1.2</v>
      </c>
      <c r="N36" s="2" t="str">
        <f t="shared" si="3"/>
        <v>-</v>
      </c>
    </row>
    <row r="37" spans="1:14">
      <c r="A37" s="11" t="s">
        <v>8</v>
      </c>
      <c r="B37" s="13">
        <v>0.6</v>
      </c>
      <c r="C37">
        <v>7.0000000000000007E-2</v>
      </c>
      <c r="D37">
        <v>6.8</v>
      </c>
      <c r="E37" t="str">
        <f t="shared" si="0"/>
        <v>-</v>
      </c>
      <c r="F37">
        <v>-0.01</v>
      </c>
      <c r="G37">
        <v>-8.8000000000000007</v>
      </c>
      <c r="H37" t="str">
        <f t="shared" si="1"/>
        <v>-</v>
      </c>
      <c r="I37" s="1">
        <v>0</v>
      </c>
      <c r="J37">
        <v>0</v>
      </c>
      <c r="K37" t="str">
        <f t="shared" si="2"/>
        <v>-</v>
      </c>
      <c r="L37">
        <v>7.0000000000000001E-3</v>
      </c>
      <c r="M37">
        <v>6.7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-0.19</v>
      </c>
      <c r="D38">
        <v>-18.399999999999999</v>
      </c>
      <c r="E38" t="str">
        <f t="shared" si="0"/>
        <v>-</v>
      </c>
      <c r="F38">
        <v>-0.01</v>
      </c>
      <c r="G38">
        <v>-11.2</v>
      </c>
      <c r="H38" t="str">
        <f t="shared" si="1"/>
        <v>-</v>
      </c>
      <c r="I38" s="1">
        <v>0.01</v>
      </c>
      <c r="J38">
        <v>1.2</v>
      </c>
      <c r="K38" t="str">
        <f t="shared" si="2"/>
        <v>-</v>
      </c>
      <c r="L38">
        <v>5.0000000000000001E-3</v>
      </c>
      <c r="M38">
        <v>6.3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-0.33</v>
      </c>
      <c r="D39">
        <v>-11</v>
      </c>
      <c r="E39" t="str">
        <f t="shared" si="0"/>
        <v>-</v>
      </c>
      <c r="F39">
        <v>-0.04</v>
      </c>
      <c r="G39">
        <v>-21.1</v>
      </c>
      <c r="H39" t="str">
        <f t="shared" si="1"/>
        <v>-</v>
      </c>
      <c r="I39" s="1">
        <v>0.09</v>
      </c>
      <c r="J39">
        <v>3.4</v>
      </c>
      <c r="K39" t="str">
        <f t="shared" si="2"/>
        <v>-</v>
      </c>
      <c r="L39">
        <v>6.0000000000000001E-3</v>
      </c>
      <c r="M39">
        <v>4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-0.15</v>
      </c>
      <c r="D40">
        <v>-16.5</v>
      </c>
      <c r="E40" t="str">
        <f t="shared" si="0"/>
        <v>-</v>
      </c>
      <c r="F40">
        <v>0</v>
      </c>
      <c r="G40">
        <v>0</v>
      </c>
      <c r="H40" t="str">
        <f t="shared" si="1"/>
        <v>-</v>
      </c>
      <c r="I40" s="1">
        <v>-0.08</v>
      </c>
      <c r="J40">
        <v>-10.5</v>
      </c>
      <c r="K40" t="str">
        <f t="shared" si="2"/>
        <v>-</v>
      </c>
      <c r="L40">
        <v>-6.2E-2</v>
      </c>
      <c r="M40">
        <v>-52.5</v>
      </c>
      <c r="N40" s="2" t="str">
        <f t="shared" si="3"/>
        <v>?</v>
      </c>
    </row>
    <row r="41" spans="1:14">
      <c r="A41" s="11" t="s">
        <v>8</v>
      </c>
      <c r="B41" s="13">
        <v>0.7</v>
      </c>
      <c r="C41">
        <v>0.05</v>
      </c>
      <c r="D41">
        <v>4.2</v>
      </c>
      <c r="E41" t="str">
        <f t="shared" si="0"/>
        <v>-</v>
      </c>
      <c r="F41">
        <v>4.0000000000000001E-3</v>
      </c>
      <c r="G41">
        <v>3.5</v>
      </c>
      <c r="H41" t="str">
        <f t="shared" si="1"/>
        <v>-</v>
      </c>
      <c r="I41" s="1">
        <v>0.01</v>
      </c>
      <c r="J41">
        <v>0.8</v>
      </c>
      <c r="K41" t="str">
        <f t="shared" si="2"/>
        <v>-</v>
      </c>
      <c r="L41">
        <v>7.0000000000000001E-3</v>
      </c>
      <c r="M41">
        <v>6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-0.16</v>
      </c>
      <c r="D42">
        <v>-16</v>
      </c>
      <c r="E42" t="str">
        <f t="shared" si="0"/>
        <v>-</v>
      </c>
      <c r="F42">
        <v>-1.4E-2</v>
      </c>
      <c r="G42">
        <v>-15.1</v>
      </c>
      <c r="H42" t="str">
        <f t="shared" si="1"/>
        <v>-</v>
      </c>
      <c r="I42" s="1">
        <v>0.22</v>
      </c>
      <c r="J42">
        <v>26.2</v>
      </c>
      <c r="K42" t="str">
        <f t="shared" si="2"/>
        <v>-</v>
      </c>
      <c r="L42">
        <v>1.0999999999999999E-2</v>
      </c>
      <c r="M42">
        <v>13.9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0.34</v>
      </c>
      <c r="D43">
        <v>10.199999999999999</v>
      </c>
      <c r="E43" t="str">
        <f t="shared" si="0"/>
        <v>-</v>
      </c>
      <c r="F43">
        <v>8.0000000000000002E-3</v>
      </c>
      <c r="G43">
        <v>3.8</v>
      </c>
      <c r="H43" t="str">
        <f t="shared" si="1"/>
        <v>-</v>
      </c>
      <c r="I43" s="1">
        <v>0.03</v>
      </c>
      <c r="J43">
        <v>0.8</v>
      </c>
      <c r="K43" t="str">
        <f t="shared" si="2"/>
        <v>-</v>
      </c>
      <c r="L43">
        <v>-4.0000000000000001E-3</v>
      </c>
      <c r="M43">
        <v>-1.9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-0.04</v>
      </c>
      <c r="D44">
        <v>-5.6</v>
      </c>
      <c r="E44" t="str">
        <f t="shared" si="0"/>
        <v>-</v>
      </c>
      <c r="F44">
        <v>-2E-3</v>
      </c>
      <c r="G44">
        <v>-2.6</v>
      </c>
      <c r="H44" t="str">
        <f t="shared" si="1"/>
        <v>-</v>
      </c>
      <c r="I44" s="1">
        <v>0.02</v>
      </c>
      <c r="J44">
        <v>3</v>
      </c>
      <c r="K44" t="str">
        <f t="shared" si="2"/>
        <v>-</v>
      </c>
      <c r="L44">
        <v>-0.02</v>
      </c>
      <c r="M44">
        <v>-26.3</v>
      </c>
      <c r="N44" s="2" t="str">
        <f t="shared" si="3"/>
        <v>-</v>
      </c>
    </row>
    <row r="45" spans="1:14">
      <c r="A45" s="11" t="s">
        <v>8</v>
      </c>
      <c r="B45" s="13">
        <v>0.8</v>
      </c>
      <c r="C45">
        <v>1.17</v>
      </c>
      <c r="D45">
        <v>62.6</v>
      </c>
      <c r="E45" t="str">
        <f t="shared" si="0"/>
        <v>?</v>
      </c>
      <c r="F45">
        <v>7.0000000000000001E-3</v>
      </c>
      <c r="G45">
        <v>4.5999999999999996</v>
      </c>
      <c r="H45" t="str">
        <f t="shared" si="1"/>
        <v>-</v>
      </c>
      <c r="I45" s="1">
        <v>0.34</v>
      </c>
      <c r="J45">
        <v>11.2</v>
      </c>
      <c r="K45" t="str">
        <f t="shared" si="2"/>
        <v>-</v>
      </c>
      <c r="L45">
        <v>-4.0000000000000001E-3</v>
      </c>
      <c r="M45">
        <v>-2.5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2.72</v>
      </c>
      <c r="D46">
        <v>118.3</v>
      </c>
      <c r="E46" t="str">
        <f t="shared" si="0"/>
        <v>?</v>
      </c>
      <c r="F46">
        <v>9.5000000000000001E-2</v>
      </c>
      <c r="G46">
        <v>79.8</v>
      </c>
      <c r="H46" t="str">
        <f t="shared" si="1"/>
        <v>?</v>
      </c>
      <c r="I46" s="1">
        <v>0.38</v>
      </c>
      <c r="J46">
        <v>7.6</v>
      </c>
      <c r="K46" t="str">
        <f t="shared" si="2"/>
        <v>-</v>
      </c>
      <c r="L46">
        <v>1.9E-2</v>
      </c>
      <c r="M46">
        <v>8.9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1.8</v>
      </c>
      <c r="D47">
        <v>35.700000000000003</v>
      </c>
      <c r="E47" t="str">
        <f t="shared" si="0"/>
        <v>-</v>
      </c>
      <c r="F47">
        <v>2.4E-2</v>
      </c>
      <c r="G47">
        <v>10.4</v>
      </c>
      <c r="H47" t="str">
        <f t="shared" si="1"/>
        <v>-</v>
      </c>
      <c r="I47" s="1">
        <v>0.26</v>
      </c>
      <c r="J47">
        <v>3.8</v>
      </c>
      <c r="K47" t="str">
        <f t="shared" si="2"/>
        <v>-</v>
      </c>
      <c r="L47">
        <v>-2E-3</v>
      </c>
      <c r="M47">
        <v>-0.8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1.06</v>
      </c>
      <c r="D48">
        <v>26.4</v>
      </c>
      <c r="E48" t="str">
        <f t="shared" si="0"/>
        <v>-</v>
      </c>
      <c r="F48">
        <v>1E-3</v>
      </c>
      <c r="G48">
        <v>1.3</v>
      </c>
      <c r="H48" t="str">
        <f t="shared" si="1"/>
        <v>-</v>
      </c>
      <c r="I48" s="1">
        <v>-7.0000000000000007E-2</v>
      </c>
      <c r="J48">
        <v>-1.4</v>
      </c>
      <c r="K48" t="str">
        <f t="shared" si="2"/>
        <v>-</v>
      </c>
      <c r="L48">
        <v>5.0000000000000001E-3</v>
      </c>
      <c r="M48">
        <v>6.3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-0.48</v>
      </c>
      <c r="D49">
        <v>-5.7</v>
      </c>
      <c r="E49" t="str">
        <f t="shared" si="0"/>
        <v>-</v>
      </c>
      <c r="F49">
        <v>-1.7999999999999999E-2</v>
      </c>
      <c r="G49">
        <v>-7.7</v>
      </c>
      <c r="H49" t="str">
        <f t="shared" si="1"/>
        <v>-</v>
      </c>
      <c r="I49" s="1">
        <v>0.05</v>
      </c>
      <c r="J49">
        <v>0.6</v>
      </c>
      <c r="K49" t="str">
        <f t="shared" si="2"/>
        <v>-</v>
      </c>
      <c r="L49">
        <v>1E-3</v>
      </c>
      <c r="M49">
        <v>0.5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0.27</v>
      </c>
      <c r="D50">
        <v>2.9</v>
      </c>
      <c r="E50" t="str">
        <f t="shared" si="0"/>
        <v>-</v>
      </c>
      <c r="F50">
        <v>-1.9E-2</v>
      </c>
      <c r="G50">
        <v>-8.3000000000000007</v>
      </c>
      <c r="H50" t="str">
        <f t="shared" si="1"/>
        <v>-</v>
      </c>
      <c r="I50" s="1">
        <v>-0.02</v>
      </c>
      <c r="J50">
        <v>-0.2</v>
      </c>
      <c r="K50" t="str">
        <f t="shared" si="2"/>
        <v>-</v>
      </c>
      <c r="L50">
        <v>3.0000000000000001E-3</v>
      </c>
      <c r="M50">
        <v>1.4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-0.03</v>
      </c>
      <c r="D51">
        <v>-0.4</v>
      </c>
      <c r="E51" t="str">
        <f t="shared" si="0"/>
        <v>-</v>
      </c>
      <c r="F51">
        <v>-1E-3</v>
      </c>
      <c r="G51">
        <v>-0.7</v>
      </c>
      <c r="H51" t="str">
        <f t="shared" si="1"/>
        <v>-</v>
      </c>
      <c r="I51" s="1">
        <v>-0.05</v>
      </c>
      <c r="J51">
        <v>-0.6</v>
      </c>
      <c r="K51" t="str">
        <f t="shared" si="2"/>
        <v>-</v>
      </c>
      <c r="L51">
        <v>2E-3</v>
      </c>
      <c r="M51">
        <v>1.5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-0.13</v>
      </c>
      <c r="D52">
        <v>-1.8</v>
      </c>
      <c r="E52" t="str">
        <f t="shared" si="0"/>
        <v>-</v>
      </c>
      <c r="F52">
        <v>7.4999999999999997E-2</v>
      </c>
      <c r="G52">
        <v>44.9</v>
      </c>
      <c r="H52" t="str">
        <f t="shared" si="1"/>
        <v>-</v>
      </c>
      <c r="I52" s="1">
        <v>7.0000000000000007E-2</v>
      </c>
      <c r="J52">
        <v>1</v>
      </c>
      <c r="K52" t="str">
        <f t="shared" si="2"/>
        <v>-</v>
      </c>
      <c r="L52">
        <v>8.9999999999999993E-3</v>
      </c>
      <c r="M52">
        <v>3.7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5.8958333333333314E-2</v>
      </c>
      <c r="D56">
        <f>AVERAGE(D$5:D$52)</f>
        <v>-0.68333333333333368</v>
      </c>
      <c r="F56">
        <f>AVERAGE(F$5:F$52)</f>
        <v>-6.2083333333333331E-3</v>
      </c>
      <c r="G56">
        <f>AVERAGE(G$5:G$52)</f>
        <v>-4.1791666666666663</v>
      </c>
      <c r="I56" s="1">
        <f>AVERAGE(I$5:I$52)</f>
        <v>2.7291666666666672E-2</v>
      </c>
      <c r="J56">
        <f>AVERAGE(J$5:J$52)</f>
        <v>2.09375</v>
      </c>
      <c r="L56">
        <f>AVERAGE(L$5:L$52)</f>
        <v>-4.3749999999999979E-4</v>
      </c>
      <c r="M56">
        <f>AVERAGE(M$5:M$52)</f>
        <v>-7.49999999999999E-2</v>
      </c>
    </row>
    <row r="57" spans="1:15">
      <c r="B57" s="4" t="s">
        <v>19</v>
      </c>
      <c r="C57">
        <f>MEDIAN(C$5:C$52)</f>
        <v>-0.08</v>
      </c>
      <c r="D57">
        <f>MEDIAN(D$5:D$52)</f>
        <v>-5.65</v>
      </c>
      <c r="F57">
        <f>MEDIAN(F$5:F$52)</f>
        <v>-9.4999999999999998E-3</v>
      </c>
      <c r="G57">
        <f>MEDIAN(G$5:G$52)</f>
        <v>-7.75</v>
      </c>
      <c r="I57" s="1">
        <f>MEDIAN(I$5:I$52)</f>
        <v>0.01</v>
      </c>
      <c r="J57">
        <f>MEDIAN(J$5:J$52)</f>
        <v>0.8</v>
      </c>
      <c r="L57">
        <f>MEDIAN(L$5:L$52)</f>
        <v>1E-3</v>
      </c>
      <c r="M57">
        <f>MEDIAN(M$5:M$52)</f>
        <v>1.1000000000000001</v>
      </c>
    </row>
    <row r="58" spans="1:15">
      <c r="B58" s="4" t="s">
        <v>20</v>
      </c>
      <c r="C58">
        <f>STDEV(C$5:C$52)</f>
        <v>0.57875964063780883</v>
      </c>
      <c r="D58">
        <f>STDEV(D$5:D$52)</f>
        <v>24.258030767924851</v>
      </c>
      <c r="F58">
        <f>STDEV(F$5:F$52)</f>
        <v>2.5025908560745207E-2</v>
      </c>
      <c r="G58">
        <f>STDEV(G$5:G$52)</f>
        <v>19.731268610834626</v>
      </c>
      <c r="I58" s="1">
        <f>STDEV(I$5:I$52)</f>
        <v>0.1527163910629464</v>
      </c>
      <c r="J58">
        <f>STDEV(J$5:J$52)</f>
        <v>10.462524943410617</v>
      </c>
      <c r="L58">
        <f>STDEV(L$5:L$52)</f>
        <v>1.4255877847101854E-2</v>
      </c>
      <c r="M58">
        <f>STDEV(M$5:M$52)</f>
        <v>13.02754038606821</v>
      </c>
    </row>
    <row r="59" spans="1:15">
      <c r="B59" s="4" t="s">
        <v>21</v>
      </c>
      <c r="C59">
        <f>COUNTIF(C$5:C$52, "&lt;0")</f>
        <v>33</v>
      </c>
      <c r="D59">
        <f>COUNTIF(D$5:D$52, "&lt;0")</f>
        <v>33</v>
      </c>
      <c r="F59">
        <f>COUNTIF(F$5:F$52, "&lt;0")</f>
        <v>32</v>
      </c>
      <c r="G59">
        <f>COUNTIF(G$5:G$52, "&lt;0")</f>
        <v>32</v>
      </c>
      <c r="I59" s="1">
        <f>COUNTIF(I$5:I$52, "&lt;0")</f>
        <v>20</v>
      </c>
      <c r="J59">
        <f>COUNTIF(J$5:J$52, "&lt;0")</f>
        <v>20</v>
      </c>
      <c r="L59">
        <f>COUNTIF(L$5:L$52, "&lt;0")</f>
        <v>19</v>
      </c>
      <c r="M59">
        <f>COUNTIF(M$5:M$52, "&lt;0")</f>
        <v>19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-8.7916666666666698E-2</v>
      </c>
      <c r="D63">
        <f>AVERAGE(D$5:D$28)</f>
        <v>-5.7083333333333321</v>
      </c>
      <c r="F63">
        <f>AVERAGE(F$5:F$28)</f>
        <v>-9.8750000000000001E-3</v>
      </c>
      <c r="G63">
        <f>AVERAGE(G$5:G$28)</f>
        <v>-5.8249999999999993</v>
      </c>
      <c r="I63" s="1">
        <f>AVERAGE(I$5:I$28)</f>
        <v>2.9166666666666678E-2</v>
      </c>
      <c r="J63">
        <f>AVERAGE(J$5:J$28)</f>
        <v>3.5333333333333337</v>
      </c>
      <c r="L63">
        <f>AVERAGE(L$5:L$28)</f>
        <v>-4.1666666666666415E-5</v>
      </c>
      <c r="M63">
        <f>AVERAGE(M$5:M$28)</f>
        <v>0.76250000000000007</v>
      </c>
    </row>
    <row r="64" spans="1:15">
      <c r="B64" s="4" t="s">
        <v>19</v>
      </c>
      <c r="C64">
        <f>MEDIAN(C$5:C$28)</f>
        <v>-0.09</v>
      </c>
      <c r="D64">
        <f>MEDIAN(D$5:D$28)</f>
        <v>-7.3</v>
      </c>
      <c r="F64">
        <f>MEDIAN(F$5:F$28)</f>
        <v>-1.0499999999999999E-2</v>
      </c>
      <c r="G64">
        <f>MEDIAN(G$5:G$28)</f>
        <v>-7.9499999999999993</v>
      </c>
      <c r="I64" s="1">
        <f>MEDIAN(I$5:I$28)</f>
        <v>5.0000000000000001E-3</v>
      </c>
      <c r="J64">
        <f>MEDIAN(J$5:J$28)</f>
        <v>0.55000000000000004</v>
      </c>
      <c r="L64">
        <f>MEDIAN(L$5:L$28)</f>
        <v>5.0000000000000001E-4</v>
      </c>
      <c r="M64">
        <f>MEDIAN(M$5:M$28)</f>
        <v>0.45</v>
      </c>
    </row>
    <row r="65" spans="2:13">
      <c r="B65" s="4" t="s">
        <v>20</v>
      </c>
      <c r="C65">
        <f>STDEV(C$5:C$28)</f>
        <v>0.27204505967349163</v>
      </c>
      <c r="D65">
        <f>STDEV(D$5:D$28)</f>
        <v>12.574678374888324</v>
      </c>
      <c r="F65">
        <f>STDEV(F$5:F$28)</f>
        <v>1.5803996467597239E-2</v>
      </c>
      <c r="G65">
        <f>STDEV(G$5:G$28)</f>
        <v>15.304709420135445</v>
      </c>
      <c r="I65" s="1">
        <f>STDEV(I$5:I$28)</f>
        <v>0.14458085346409394</v>
      </c>
      <c r="J65">
        <f>STDEV(J$5:J$28)</f>
        <v>11.24106086076231</v>
      </c>
      <c r="L65">
        <f>STDEV(L$5:L$28)</f>
        <v>1.3053332630160897E-2</v>
      </c>
      <c r="M65">
        <f>STDEV(M$5:M$28)</f>
        <v>12.177235086333271</v>
      </c>
    </row>
    <row r="66" spans="2:13">
      <c r="B66" s="4" t="s">
        <v>21</v>
      </c>
      <c r="C66">
        <f>COUNTIF(C$5:C$28, "&lt;0")</f>
        <v>18</v>
      </c>
      <c r="D66">
        <f>COUNTIF(D$5:D$28, "&lt;0")</f>
        <v>18</v>
      </c>
      <c r="F66">
        <f>COUNTIF(F$5:F$28, "&lt;0")</f>
        <v>17</v>
      </c>
      <c r="G66">
        <f>COUNTIF(G$5:G$28, "&lt;0")</f>
        <v>17</v>
      </c>
      <c r="I66" s="1">
        <f>COUNTIF(I$5:I$28, "&lt;0")</f>
        <v>11</v>
      </c>
      <c r="J66">
        <f>COUNTIF(J$5:J$28, "&lt;0")</f>
        <v>11</v>
      </c>
      <c r="L66">
        <f>COUNTIF(L$5:L$28, "&lt;0")</f>
        <v>10</v>
      </c>
      <c r="M66">
        <f>COUNTIF(M$5:M$28, "&lt;0")</f>
        <v>10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0.20583333333333331</v>
      </c>
      <c r="D70">
        <f>AVERAGE(D$29:D$52)</f>
        <v>4.3416666666666677</v>
      </c>
      <c r="F70">
        <f>AVERAGE(F$29:F$52)</f>
        <v>-2.5416666666666682E-3</v>
      </c>
      <c r="G70">
        <f>AVERAGE(G$29:G$52)</f>
        <v>-2.5333333333333323</v>
      </c>
      <c r="I70" s="1">
        <f>AVERAGE(I$29:I$52)</f>
        <v>2.5416666666666671E-2</v>
      </c>
      <c r="J70">
        <f>AVERAGE(J$29:J$52)</f>
        <v>0.65416666666666645</v>
      </c>
      <c r="L70">
        <f>AVERAGE(L$29:L$52)</f>
        <v>-8.3333333333333382E-4</v>
      </c>
      <c r="M70">
        <f>AVERAGE(M$29:M$52)</f>
        <v>-0.9125000000000002</v>
      </c>
    </row>
    <row r="71" spans="2:13">
      <c r="B71" s="4" t="s">
        <v>19</v>
      </c>
      <c r="C71">
        <f>MEDIAN(C$29:C$52)</f>
        <v>-0.05</v>
      </c>
      <c r="D71">
        <f>MEDIAN(D$29:D$52)</f>
        <v>-3.2</v>
      </c>
      <c r="F71">
        <f>MEDIAN(F$29:F$52)</f>
        <v>-6.4999999999999997E-3</v>
      </c>
      <c r="G71">
        <f>MEDIAN(G$29:G$52)</f>
        <v>-5.75</v>
      </c>
      <c r="I71" s="1">
        <f>MEDIAN(I$29:I$52)</f>
        <v>1.4999999999999999E-2</v>
      </c>
      <c r="J71">
        <f>MEDIAN(J$29:J$52)</f>
        <v>0.8</v>
      </c>
      <c r="L71">
        <f>MEDIAN(L$29:L$52)</f>
        <v>2.5000000000000001E-3</v>
      </c>
      <c r="M71">
        <f>MEDIAN(M$29:M$52)</f>
        <v>1.45</v>
      </c>
    </row>
    <row r="72" spans="2:13">
      <c r="B72" s="4" t="s">
        <v>20</v>
      </c>
      <c r="C72">
        <f>STDEV(C$29:C$52)</f>
        <v>0.75197084047690055</v>
      </c>
      <c r="D72">
        <f>STDEV(D$29:D$52)</f>
        <v>31.490784251168201</v>
      </c>
      <c r="F72">
        <f>STDEV(F$29:F$52)</f>
        <v>3.1654354967457436E-2</v>
      </c>
      <c r="G72">
        <f>STDEV(G$29:G$52)</f>
        <v>23.572988718052898</v>
      </c>
      <c r="I72" s="1">
        <f>STDEV(I$29:I$52)</f>
        <v>0.16354707251288916</v>
      </c>
      <c r="J72">
        <f>STDEV(J$29:J$52)</f>
        <v>9.6437399910248907</v>
      </c>
      <c r="L72">
        <f>STDEV(L$29:L$52)</f>
        <v>1.563904441278071E-2</v>
      </c>
      <c r="M72">
        <f>STDEV(M$29:M$52)</f>
        <v>14.037939663640101</v>
      </c>
    </row>
    <row r="73" spans="2:13">
      <c r="B73" s="4" t="s">
        <v>21</v>
      </c>
      <c r="C73">
        <f>COUNTIF(C$29:C$52, "&lt;0")</f>
        <v>15</v>
      </c>
      <c r="D73">
        <f>COUNTIF(D$29:D$52, "&lt;0")</f>
        <v>15</v>
      </c>
      <c r="F73">
        <f>COUNTIF(F$29:F$52, "&lt;0")</f>
        <v>15</v>
      </c>
      <c r="G73">
        <f>COUNTIF(G$29:G$52, "&lt;0")</f>
        <v>15</v>
      </c>
      <c r="I73" s="1">
        <f>COUNTIF(I$29:I$52, "&lt;0")</f>
        <v>9</v>
      </c>
      <c r="J73">
        <f>COUNTIF(J$29:J$52, "&lt;0")</f>
        <v>9</v>
      </c>
      <c r="L73">
        <f>COUNTIF(L$29:L$52, "&lt;0")</f>
        <v>9</v>
      </c>
      <c r="M73">
        <f>COUNTIF(M$29:M$52, "&lt;0")</f>
        <v>9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F1EB-5033-40E4-890D-9783FBFE25A5}">
  <dimension ref="A1:O73"/>
  <sheetViews>
    <sheetView topLeftCell="A13" workbookViewId="0">
      <selection activeCell="M5" sqref="M5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-0.13</v>
      </c>
      <c r="D5">
        <v>-4.0999999999999996</v>
      </c>
      <c r="E5" t="str">
        <f>IF(ABS(D5)&gt;50,"?","-")</f>
        <v>-</v>
      </c>
      <c r="F5">
        <v>2.8000000000000001E-2</v>
      </c>
      <c r="G5">
        <v>19</v>
      </c>
      <c r="H5" t="str">
        <f>IF(ABS(G5)&gt;50,"?","-")</f>
        <v>-</v>
      </c>
      <c r="I5" s="1">
        <v>0.02</v>
      </c>
      <c r="J5">
        <v>0.7</v>
      </c>
      <c r="K5" t="str">
        <f>IF(ABS(J5)&gt;50,"?","-")</f>
        <v>-</v>
      </c>
      <c r="L5">
        <v>5.0000000000000001E-3</v>
      </c>
      <c r="M5">
        <v>2.9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-0.06</v>
      </c>
      <c r="D6">
        <v>-2.2999999999999998</v>
      </c>
      <c r="E6" t="str">
        <f t="shared" ref="E6:E52" si="0">IF(ABS(D6)&gt;50,"?","-")</f>
        <v>-</v>
      </c>
      <c r="F6">
        <v>1.6E-2</v>
      </c>
      <c r="G6">
        <v>14.8</v>
      </c>
      <c r="H6" t="str">
        <f t="shared" ref="H6:H52" si="1">IF(ABS(G6)&gt;50,"?","-")</f>
        <v>-</v>
      </c>
      <c r="I6" s="1">
        <v>0.02</v>
      </c>
      <c r="J6">
        <v>0.8</v>
      </c>
      <c r="K6" t="str">
        <f t="shared" ref="K6:K52" si="2">IF(ABS(J6)&gt;50,"?","-")</f>
        <v>-</v>
      </c>
      <c r="L6">
        <v>8.9999999999999993E-3</v>
      </c>
      <c r="M6">
        <v>7.3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-0.96</v>
      </c>
      <c r="D7">
        <v>-13.9</v>
      </c>
      <c r="E7" t="str">
        <f t="shared" si="0"/>
        <v>-</v>
      </c>
      <c r="F7">
        <v>-0.03</v>
      </c>
      <c r="G7">
        <v>-8.9</v>
      </c>
      <c r="H7" t="str">
        <f t="shared" si="1"/>
        <v>-</v>
      </c>
      <c r="I7" s="1">
        <v>-0.32</v>
      </c>
      <c r="J7">
        <v>-5.4</v>
      </c>
      <c r="K7" t="str">
        <f t="shared" si="2"/>
        <v>-</v>
      </c>
      <c r="L7">
        <v>-1.0999999999999999E-2</v>
      </c>
      <c r="M7">
        <v>-3.6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-0.19</v>
      </c>
      <c r="D8">
        <v>-13.8</v>
      </c>
      <c r="E8" t="str">
        <f t="shared" si="0"/>
        <v>-</v>
      </c>
      <c r="F8">
        <v>-2.1000000000000001E-2</v>
      </c>
      <c r="G8">
        <v>-20.2</v>
      </c>
      <c r="H8" t="str">
        <f t="shared" si="1"/>
        <v>-</v>
      </c>
      <c r="I8" s="1">
        <v>0.01</v>
      </c>
      <c r="J8">
        <v>0.8</v>
      </c>
      <c r="K8" t="str">
        <f t="shared" si="2"/>
        <v>-</v>
      </c>
      <c r="L8">
        <v>-1.2999999999999999E-2</v>
      </c>
      <c r="M8">
        <v>-15.7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-0.15</v>
      </c>
      <c r="D9">
        <v>-6.8</v>
      </c>
      <c r="E9" t="str">
        <f t="shared" si="0"/>
        <v>-</v>
      </c>
      <c r="F9">
        <v>1.6E-2</v>
      </c>
      <c r="G9">
        <v>11.6</v>
      </c>
      <c r="H9" t="str">
        <f t="shared" si="1"/>
        <v>-</v>
      </c>
      <c r="I9" s="1">
        <v>-0.04</v>
      </c>
      <c r="J9">
        <v>-2</v>
      </c>
      <c r="K9" t="str">
        <f t="shared" si="2"/>
        <v>-</v>
      </c>
      <c r="L9">
        <v>0</v>
      </c>
      <c r="M9">
        <v>0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0.03</v>
      </c>
      <c r="D10">
        <v>1.7</v>
      </c>
      <c r="E10" t="str">
        <f t="shared" si="0"/>
        <v>-</v>
      </c>
      <c r="F10">
        <v>1.6E-2</v>
      </c>
      <c r="G10">
        <v>14.7</v>
      </c>
      <c r="H10" t="str">
        <f t="shared" si="1"/>
        <v>-</v>
      </c>
      <c r="I10" s="1">
        <v>-0.04</v>
      </c>
      <c r="J10">
        <v>-2.2000000000000002</v>
      </c>
      <c r="K10" t="str">
        <f t="shared" si="2"/>
        <v>-</v>
      </c>
      <c r="L10">
        <v>-8.0000000000000002E-3</v>
      </c>
      <c r="M10">
        <v>-6.4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-0.82</v>
      </c>
      <c r="D11">
        <v>-15.9</v>
      </c>
      <c r="E11" t="str">
        <f t="shared" si="0"/>
        <v>-</v>
      </c>
      <c r="F11">
        <v>-4.2000000000000003E-2</v>
      </c>
      <c r="G11">
        <v>-15.2</v>
      </c>
      <c r="H11" t="str">
        <f t="shared" si="1"/>
        <v>-</v>
      </c>
      <c r="I11" s="1">
        <v>0.13</v>
      </c>
      <c r="J11">
        <v>3</v>
      </c>
      <c r="K11" t="str">
        <f t="shared" si="2"/>
        <v>-</v>
      </c>
      <c r="L11">
        <v>1E-3</v>
      </c>
      <c r="M11">
        <v>0.4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0</v>
      </c>
      <c r="D12">
        <v>0</v>
      </c>
      <c r="E12" t="str">
        <f t="shared" si="0"/>
        <v>-</v>
      </c>
      <c r="F12">
        <v>4.0000000000000001E-3</v>
      </c>
      <c r="G12">
        <v>4.5</v>
      </c>
      <c r="H12" t="str">
        <f t="shared" si="1"/>
        <v>-</v>
      </c>
      <c r="I12" s="1">
        <v>-0.03</v>
      </c>
      <c r="J12">
        <v>-5</v>
      </c>
      <c r="K12" t="str">
        <f t="shared" si="2"/>
        <v>-</v>
      </c>
      <c r="L12">
        <v>-2.5000000000000001E-2</v>
      </c>
      <c r="M12">
        <v>-27.2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0</v>
      </c>
      <c r="D13">
        <v>0</v>
      </c>
      <c r="E13" t="str">
        <f t="shared" si="0"/>
        <v>-</v>
      </c>
      <c r="F13">
        <v>1.2999999999999999E-2</v>
      </c>
      <c r="G13">
        <v>9.6999999999999993</v>
      </c>
      <c r="H13" t="str">
        <f t="shared" si="1"/>
        <v>-</v>
      </c>
      <c r="I13" s="1">
        <v>-0.13</v>
      </c>
      <c r="J13">
        <v>-7.7</v>
      </c>
      <c r="K13" t="str">
        <f t="shared" si="2"/>
        <v>-</v>
      </c>
      <c r="L13">
        <v>-1.4E-2</v>
      </c>
      <c r="M13">
        <v>-9.5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0.01</v>
      </c>
      <c r="D14">
        <v>0.7</v>
      </c>
      <c r="E14" t="str">
        <f t="shared" si="0"/>
        <v>-</v>
      </c>
      <c r="F14">
        <v>-8.0000000000000002E-3</v>
      </c>
      <c r="G14">
        <v>-7.1</v>
      </c>
      <c r="H14" t="str">
        <f t="shared" si="1"/>
        <v>-</v>
      </c>
      <c r="I14" s="1">
        <v>0.03</v>
      </c>
      <c r="J14">
        <v>2</v>
      </c>
      <c r="K14" t="str">
        <f t="shared" si="2"/>
        <v>-</v>
      </c>
      <c r="L14">
        <v>3.0000000000000001E-3</v>
      </c>
      <c r="M14">
        <v>2.9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-0.8</v>
      </c>
      <c r="D15">
        <v>-20.399999999999999</v>
      </c>
      <c r="E15" t="str">
        <f t="shared" si="0"/>
        <v>-</v>
      </c>
      <c r="F15">
        <v>-4.7E-2</v>
      </c>
      <c r="G15">
        <v>-20</v>
      </c>
      <c r="H15" t="str">
        <f t="shared" si="1"/>
        <v>-</v>
      </c>
      <c r="I15" s="1">
        <v>-0.16</v>
      </c>
      <c r="J15">
        <v>-5.0999999999999996</v>
      </c>
      <c r="K15" t="str">
        <f t="shared" si="2"/>
        <v>-</v>
      </c>
      <c r="L15">
        <v>-8.0000000000000002E-3</v>
      </c>
      <c r="M15">
        <v>-4.3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0.02</v>
      </c>
      <c r="D16">
        <v>4.2</v>
      </c>
      <c r="E16" t="str">
        <f t="shared" si="0"/>
        <v>-</v>
      </c>
      <c r="F16">
        <v>-6.0000000000000001E-3</v>
      </c>
      <c r="G16">
        <v>-10.199999999999999</v>
      </c>
      <c r="H16" t="str">
        <f t="shared" si="1"/>
        <v>-</v>
      </c>
      <c r="I16" s="1">
        <v>0.2</v>
      </c>
      <c r="J16">
        <v>40</v>
      </c>
      <c r="K16" t="str">
        <f t="shared" si="2"/>
        <v>-</v>
      </c>
      <c r="L16">
        <v>-1E-3</v>
      </c>
      <c r="M16">
        <v>-1.9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-0.2</v>
      </c>
      <c r="D17">
        <v>-12.3</v>
      </c>
      <c r="E17" t="str">
        <f t="shared" si="0"/>
        <v>-</v>
      </c>
      <c r="F17">
        <v>-1E-3</v>
      </c>
      <c r="G17">
        <v>-0.8</v>
      </c>
      <c r="H17" t="str">
        <f t="shared" si="1"/>
        <v>-</v>
      </c>
      <c r="I17" s="1">
        <v>-0.02</v>
      </c>
      <c r="J17">
        <v>-1.4</v>
      </c>
      <c r="K17" t="str">
        <f t="shared" si="2"/>
        <v>-</v>
      </c>
      <c r="L17">
        <v>-1E-3</v>
      </c>
      <c r="M17">
        <v>-0.8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0.01</v>
      </c>
      <c r="D18">
        <v>0.8</v>
      </c>
      <c r="E18" t="str">
        <f t="shared" si="0"/>
        <v>-</v>
      </c>
      <c r="F18">
        <v>2.3E-2</v>
      </c>
      <c r="G18">
        <v>25</v>
      </c>
      <c r="H18" t="str">
        <f t="shared" si="1"/>
        <v>-</v>
      </c>
      <c r="I18" s="1">
        <v>-0.13</v>
      </c>
      <c r="J18">
        <v>-9.8000000000000007</v>
      </c>
      <c r="K18" t="str">
        <f t="shared" si="2"/>
        <v>-</v>
      </c>
      <c r="L18">
        <v>-1.4999999999999999E-2</v>
      </c>
      <c r="M18">
        <v>-13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0.09</v>
      </c>
      <c r="D19">
        <v>3.3</v>
      </c>
      <c r="E19" t="str">
        <f t="shared" si="0"/>
        <v>-</v>
      </c>
      <c r="F19">
        <v>1.4E-2</v>
      </c>
      <c r="G19">
        <v>7.8</v>
      </c>
      <c r="H19" t="str">
        <f t="shared" si="1"/>
        <v>-</v>
      </c>
      <c r="I19" s="1">
        <v>-0.28000000000000003</v>
      </c>
      <c r="J19">
        <v>-9.9</v>
      </c>
      <c r="K19" t="str">
        <f t="shared" si="2"/>
        <v>-</v>
      </c>
      <c r="L19">
        <v>-1.4E-2</v>
      </c>
      <c r="M19">
        <v>-7.2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0.04</v>
      </c>
      <c r="D20">
        <v>8.9</v>
      </c>
      <c r="E20" t="str">
        <f t="shared" si="0"/>
        <v>-</v>
      </c>
      <c r="F20">
        <v>3.0000000000000001E-3</v>
      </c>
      <c r="G20">
        <v>5.6</v>
      </c>
      <c r="H20" t="str">
        <f t="shared" si="1"/>
        <v>-</v>
      </c>
      <c r="I20" s="1">
        <v>0.18</v>
      </c>
      <c r="J20">
        <v>36.700000000000003</v>
      </c>
      <c r="K20" t="str">
        <f t="shared" si="2"/>
        <v>-</v>
      </c>
      <c r="L20">
        <v>-1E-3</v>
      </c>
      <c r="M20">
        <v>-1.8</v>
      </c>
      <c r="N20" s="2" t="str">
        <f t="shared" si="3"/>
        <v>-</v>
      </c>
    </row>
    <row r="21" spans="1:14">
      <c r="A21" s="11" t="s">
        <v>8</v>
      </c>
      <c r="B21" s="12" t="s">
        <v>16</v>
      </c>
      <c r="C21">
        <v>-0.03</v>
      </c>
      <c r="D21">
        <v>-2.2000000000000002</v>
      </c>
      <c r="E21" t="str">
        <f t="shared" si="0"/>
        <v>-</v>
      </c>
      <c r="F21">
        <v>5.0000000000000001E-3</v>
      </c>
      <c r="G21">
        <v>4.5999999999999996</v>
      </c>
      <c r="H21" t="str">
        <f t="shared" si="1"/>
        <v>-</v>
      </c>
      <c r="I21" s="1">
        <v>-7.0000000000000007E-2</v>
      </c>
      <c r="J21">
        <v>-5.3</v>
      </c>
      <c r="K21" t="str">
        <f t="shared" si="2"/>
        <v>-</v>
      </c>
      <c r="L21">
        <v>-4.0000000000000001E-3</v>
      </c>
      <c r="M21">
        <v>-3.5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-7.0000000000000007E-2</v>
      </c>
      <c r="D22">
        <v>-6</v>
      </c>
      <c r="E22" t="str">
        <f t="shared" si="0"/>
        <v>-</v>
      </c>
      <c r="F22">
        <v>-8.9999999999999993E-3</v>
      </c>
      <c r="G22">
        <v>-9.4</v>
      </c>
      <c r="H22" t="str">
        <f t="shared" si="1"/>
        <v>-</v>
      </c>
      <c r="I22" s="1">
        <v>0.04</v>
      </c>
      <c r="J22">
        <v>3.7</v>
      </c>
      <c r="K22" t="str">
        <f t="shared" si="2"/>
        <v>-</v>
      </c>
      <c r="L22">
        <v>-5.0000000000000001E-3</v>
      </c>
      <c r="M22">
        <v>-5.7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-0.36</v>
      </c>
      <c r="D23">
        <v>-8.6</v>
      </c>
      <c r="E23" t="str">
        <f t="shared" si="0"/>
        <v>-</v>
      </c>
      <c r="F23">
        <v>-3.1E-2</v>
      </c>
      <c r="G23">
        <v>-13.4</v>
      </c>
      <c r="H23" t="str">
        <f t="shared" si="1"/>
        <v>-</v>
      </c>
      <c r="I23" s="1">
        <v>-0.28000000000000003</v>
      </c>
      <c r="J23">
        <v>-7.3</v>
      </c>
      <c r="K23" t="str">
        <f t="shared" si="2"/>
        <v>-</v>
      </c>
      <c r="L23">
        <v>-1.9E-2</v>
      </c>
      <c r="M23">
        <v>-9.5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-0.3</v>
      </c>
      <c r="D24">
        <v>-39</v>
      </c>
      <c r="E24" t="str">
        <f t="shared" si="0"/>
        <v>-</v>
      </c>
      <c r="F24">
        <v>1.2E-2</v>
      </c>
      <c r="G24">
        <v>26.7</v>
      </c>
      <c r="H24" t="str">
        <f t="shared" si="1"/>
        <v>-</v>
      </c>
      <c r="I24" s="1">
        <v>0.2</v>
      </c>
      <c r="J24">
        <v>42.6</v>
      </c>
      <c r="K24" t="str">
        <f t="shared" si="2"/>
        <v>-</v>
      </c>
      <c r="L24">
        <v>-1.2E-2</v>
      </c>
      <c r="M24">
        <v>-21.1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-0.02</v>
      </c>
      <c r="D25">
        <v>-1.3</v>
      </c>
      <c r="E25" t="str">
        <f t="shared" si="0"/>
        <v>-</v>
      </c>
      <c r="F25">
        <v>-2.1999999999999999E-2</v>
      </c>
      <c r="G25">
        <v>-15.8</v>
      </c>
      <c r="H25" t="str">
        <f t="shared" si="1"/>
        <v>-</v>
      </c>
      <c r="I25" s="1">
        <v>-0.22</v>
      </c>
      <c r="J25">
        <v>-14.2</v>
      </c>
      <c r="K25" t="str">
        <f t="shared" si="2"/>
        <v>-</v>
      </c>
      <c r="L25">
        <v>-4.0000000000000001E-3</v>
      </c>
      <c r="M25">
        <v>-3.4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0.17</v>
      </c>
      <c r="D26">
        <v>12.4</v>
      </c>
      <c r="E26" t="str">
        <f t="shared" si="0"/>
        <v>-</v>
      </c>
      <c r="F26">
        <v>1E-3</v>
      </c>
      <c r="G26">
        <v>1</v>
      </c>
      <c r="H26" t="str">
        <f t="shared" si="1"/>
        <v>-</v>
      </c>
      <c r="I26" s="1">
        <v>0.05</v>
      </c>
      <c r="J26">
        <v>3.2</v>
      </c>
      <c r="K26" t="str">
        <f t="shared" si="2"/>
        <v>-</v>
      </c>
      <c r="L26">
        <v>-8.0000000000000002E-3</v>
      </c>
      <c r="M26">
        <v>-7.8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0.04</v>
      </c>
      <c r="D27">
        <v>1.1000000000000001</v>
      </c>
      <c r="E27" t="str">
        <f t="shared" si="0"/>
        <v>-</v>
      </c>
      <c r="F27">
        <v>-3.2000000000000001E-2</v>
      </c>
      <c r="G27">
        <v>-14.4</v>
      </c>
      <c r="H27" t="str">
        <f t="shared" si="1"/>
        <v>-</v>
      </c>
      <c r="I27" s="1">
        <v>-0.06</v>
      </c>
      <c r="J27">
        <v>-1.6</v>
      </c>
      <c r="K27" t="str">
        <f t="shared" si="2"/>
        <v>-</v>
      </c>
      <c r="L27">
        <v>-4.0000000000000001E-3</v>
      </c>
      <c r="M27">
        <v>-2.1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0.1</v>
      </c>
      <c r="D28">
        <v>14.7</v>
      </c>
      <c r="E28" t="str">
        <f t="shared" si="0"/>
        <v>-</v>
      </c>
      <c r="F28">
        <v>2.3E-2</v>
      </c>
      <c r="G28">
        <v>59</v>
      </c>
      <c r="H28" t="str">
        <f t="shared" si="1"/>
        <v>?</v>
      </c>
      <c r="I28" s="1">
        <v>-0.11</v>
      </c>
      <c r="J28">
        <v>-14.1</v>
      </c>
      <c r="K28" t="str">
        <f t="shared" si="2"/>
        <v>-</v>
      </c>
      <c r="L28">
        <v>-2.4E-2</v>
      </c>
      <c r="M28">
        <v>-38.700000000000003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-0.24</v>
      </c>
      <c r="D29">
        <v>-17.899999999999999</v>
      </c>
      <c r="E29" t="str">
        <f t="shared" si="0"/>
        <v>-</v>
      </c>
      <c r="F29">
        <v>-1.4E-2</v>
      </c>
      <c r="G29">
        <v>-12.3</v>
      </c>
      <c r="H29" t="str">
        <f t="shared" si="1"/>
        <v>-</v>
      </c>
      <c r="I29" s="1">
        <v>0</v>
      </c>
      <c r="J29">
        <v>0</v>
      </c>
      <c r="K29" t="str">
        <f t="shared" si="2"/>
        <v>-</v>
      </c>
      <c r="L29">
        <v>-1E-3</v>
      </c>
      <c r="M29">
        <v>-1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-0.22</v>
      </c>
      <c r="D30">
        <v>-18.5</v>
      </c>
      <c r="E30" t="str">
        <f t="shared" si="0"/>
        <v>-</v>
      </c>
      <c r="F30">
        <v>-2.5999999999999999E-2</v>
      </c>
      <c r="G30">
        <v>-24.5</v>
      </c>
      <c r="H30" t="str">
        <f t="shared" si="1"/>
        <v>-</v>
      </c>
      <c r="I30" s="1">
        <v>0.1</v>
      </c>
      <c r="J30">
        <v>10.3</v>
      </c>
      <c r="K30" t="str">
        <f t="shared" si="2"/>
        <v>-</v>
      </c>
      <c r="L30">
        <v>1.2E-2</v>
      </c>
      <c r="M30">
        <v>15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0.27</v>
      </c>
      <c r="D31">
        <v>9.3000000000000007</v>
      </c>
      <c r="E31" t="str">
        <f t="shared" si="0"/>
        <v>-</v>
      </c>
      <c r="F31">
        <v>3.0000000000000001E-3</v>
      </c>
      <c r="G31">
        <v>1.7</v>
      </c>
      <c r="H31" t="str">
        <f t="shared" si="1"/>
        <v>-</v>
      </c>
      <c r="I31" s="1">
        <v>0.2</v>
      </c>
      <c r="J31">
        <v>6.3</v>
      </c>
      <c r="K31" t="str">
        <f t="shared" si="2"/>
        <v>-</v>
      </c>
      <c r="L31">
        <v>1.2999999999999999E-2</v>
      </c>
      <c r="M31">
        <v>7.3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-0.25</v>
      </c>
      <c r="D32">
        <v>-28.7</v>
      </c>
      <c r="E32" t="str">
        <f t="shared" si="0"/>
        <v>-</v>
      </c>
      <c r="F32">
        <v>6.0000000000000001E-3</v>
      </c>
      <c r="G32">
        <v>9.8000000000000007</v>
      </c>
      <c r="H32" t="str">
        <f t="shared" si="1"/>
        <v>-</v>
      </c>
      <c r="I32" s="1">
        <v>-0.06</v>
      </c>
      <c r="J32">
        <v>-9.6999999999999993</v>
      </c>
      <c r="K32" t="str">
        <f t="shared" si="2"/>
        <v>-</v>
      </c>
      <c r="L32">
        <v>-1.2E-2</v>
      </c>
      <c r="M32">
        <v>-17.899999999999999</v>
      </c>
      <c r="N32" s="2" t="str">
        <f t="shared" si="3"/>
        <v>-</v>
      </c>
    </row>
    <row r="33" spans="1:14">
      <c r="A33" s="11" t="s">
        <v>8</v>
      </c>
      <c r="B33" s="13">
        <v>0.5</v>
      </c>
      <c r="C33">
        <v>-0.13</v>
      </c>
      <c r="D33">
        <v>-9</v>
      </c>
      <c r="E33" t="str">
        <f t="shared" si="0"/>
        <v>-</v>
      </c>
      <c r="F33">
        <v>-1.2999999999999999E-2</v>
      </c>
      <c r="G33">
        <v>-9.8000000000000007</v>
      </c>
      <c r="H33" t="str">
        <f t="shared" si="1"/>
        <v>-</v>
      </c>
      <c r="I33" s="1">
        <v>0</v>
      </c>
      <c r="J33">
        <v>0</v>
      </c>
      <c r="K33" t="str">
        <f t="shared" si="2"/>
        <v>-</v>
      </c>
      <c r="L33">
        <v>-3.0000000000000001E-3</v>
      </c>
      <c r="M33">
        <v>-2.5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-0.19</v>
      </c>
      <c r="D34">
        <v>-15.7</v>
      </c>
      <c r="E34" t="str">
        <f t="shared" si="0"/>
        <v>-</v>
      </c>
      <c r="F34">
        <v>-1.9E-2</v>
      </c>
      <c r="G34">
        <v>-17.899999999999999</v>
      </c>
      <c r="H34" t="str">
        <f t="shared" si="1"/>
        <v>-</v>
      </c>
      <c r="I34" s="1">
        <v>0.14000000000000001</v>
      </c>
      <c r="J34">
        <v>13.7</v>
      </c>
      <c r="K34" t="str">
        <f t="shared" si="2"/>
        <v>-</v>
      </c>
      <c r="L34">
        <v>-5.0000000000000001E-3</v>
      </c>
      <c r="M34">
        <v>-5.7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-0.49</v>
      </c>
      <c r="D35">
        <v>-14.7</v>
      </c>
      <c r="E35" t="str">
        <f t="shared" si="0"/>
        <v>-</v>
      </c>
      <c r="F35">
        <v>-5.5E-2</v>
      </c>
      <c r="G35">
        <v>-27.9</v>
      </c>
      <c r="H35" t="str">
        <f t="shared" si="1"/>
        <v>-</v>
      </c>
      <c r="I35" s="1">
        <v>0.11</v>
      </c>
      <c r="J35">
        <v>3.9</v>
      </c>
      <c r="K35" t="str">
        <f t="shared" si="2"/>
        <v>-</v>
      </c>
      <c r="L35">
        <v>1.6E-2</v>
      </c>
      <c r="M35">
        <v>11.3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0.22</v>
      </c>
      <c r="D36">
        <v>34.4</v>
      </c>
      <c r="E36" t="str">
        <f t="shared" si="0"/>
        <v>-</v>
      </c>
      <c r="F36">
        <v>3.5999999999999997E-2</v>
      </c>
      <c r="G36">
        <v>70.599999999999994</v>
      </c>
      <c r="H36" t="str">
        <f t="shared" si="1"/>
        <v>?</v>
      </c>
      <c r="I36" s="1">
        <v>-0.14000000000000001</v>
      </c>
      <c r="J36">
        <v>-16.3</v>
      </c>
      <c r="K36" t="str">
        <f t="shared" si="2"/>
        <v>-</v>
      </c>
      <c r="L36">
        <v>-2.1999999999999999E-2</v>
      </c>
      <c r="M36">
        <v>-25.3</v>
      </c>
      <c r="N36" s="2" t="str">
        <f t="shared" si="3"/>
        <v>-</v>
      </c>
    </row>
    <row r="37" spans="1:14">
      <c r="A37" s="11" t="s">
        <v>8</v>
      </c>
      <c r="B37" s="13">
        <v>0.6</v>
      </c>
      <c r="C37">
        <v>-7.0000000000000007E-2</v>
      </c>
      <c r="D37">
        <v>-4.5</v>
      </c>
      <c r="E37" t="str">
        <f t="shared" si="0"/>
        <v>-</v>
      </c>
      <c r="F37">
        <v>-1E-3</v>
      </c>
      <c r="G37">
        <v>-0.7</v>
      </c>
      <c r="H37" t="str">
        <f t="shared" si="1"/>
        <v>-</v>
      </c>
      <c r="I37" s="1">
        <v>-0.01</v>
      </c>
      <c r="J37">
        <v>-0.7</v>
      </c>
      <c r="K37" t="str">
        <f t="shared" si="2"/>
        <v>-</v>
      </c>
      <c r="L37">
        <v>-2E-3</v>
      </c>
      <c r="M37">
        <v>-1.5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-0.26</v>
      </c>
      <c r="D38">
        <v>-18.399999999999999</v>
      </c>
      <c r="E38" t="str">
        <f t="shared" si="0"/>
        <v>-</v>
      </c>
      <c r="F38">
        <v>-1.0999999999999999E-2</v>
      </c>
      <c r="G38">
        <v>-9.8000000000000007</v>
      </c>
      <c r="H38" t="str">
        <f t="shared" si="1"/>
        <v>-</v>
      </c>
      <c r="I38" s="1">
        <v>0.06</v>
      </c>
      <c r="J38">
        <v>5.2</v>
      </c>
      <c r="K38" t="str">
        <f t="shared" si="2"/>
        <v>-</v>
      </c>
      <c r="L38">
        <v>-1E-3</v>
      </c>
      <c r="M38">
        <v>-1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-0.45</v>
      </c>
      <c r="D39">
        <v>-12.6</v>
      </c>
      <c r="E39" t="str">
        <f t="shared" si="0"/>
        <v>-</v>
      </c>
      <c r="F39">
        <v>-4.4999999999999998E-2</v>
      </c>
      <c r="G39">
        <v>-21.1</v>
      </c>
      <c r="H39" t="str">
        <f t="shared" si="1"/>
        <v>-</v>
      </c>
      <c r="I39" s="1">
        <v>0.04</v>
      </c>
      <c r="J39">
        <v>1.3</v>
      </c>
      <c r="K39" t="str">
        <f t="shared" si="2"/>
        <v>-</v>
      </c>
      <c r="L39">
        <v>1E-3</v>
      </c>
      <c r="M39">
        <v>0.6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-0.09</v>
      </c>
      <c r="D40">
        <v>-16.100000000000001</v>
      </c>
      <c r="E40" t="str">
        <f t="shared" si="0"/>
        <v>-</v>
      </c>
      <c r="F40">
        <v>-8.0000000000000002E-3</v>
      </c>
      <c r="G40">
        <v>-15.1</v>
      </c>
      <c r="H40" t="str">
        <f t="shared" si="1"/>
        <v>-</v>
      </c>
      <c r="I40" s="1">
        <v>0.17</v>
      </c>
      <c r="J40">
        <v>36.200000000000003</v>
      </c>
      <c r="K40" t="str">
        <f t="shared" si="2"/>
        <v>-</v>
      </c>
      <c r="L40">
        <v>3.0000000000000001E-3</v>
      </c>
      <c r="M40">
        <v>6.7</v>
      </c>
      <c r="N40" s="2" t="str">
        <f t="shared" si="3"/>
        <v>-</v>
      </c>
    </row>
    <row r="41" spans="1:14">
      <c r="A41" s="11" t="s">
        <v>8</v>
      </c>
      <c r="B41" s="13">
        <v>0.7</v>
      </c>
      <c r="C41">
        <v>0.02</v>
      </c>
      <c r="D41">
        <v>1.1000000000000001</v>
      </c>
      <c r="E41" t="str">
        <f t="shared" si="0"/>
        <v>-</v>
      </c>
      <c r="F41">
        <v>2.3E-2</v>
      </c>
      <c r="G41">
        <v>17.8</v>
      </c>
      <c r="H41" t="str">
        <f t="shared" si="1"/>
        <v>-</v>
      </c>
      <c r="I41" s="1">
        <v>-7.0000000000000007E-2</v>
      </c>
      <c r="J41">
        <v>-3.7</v>
      </c>
      <c r="K41" t="str">
        <f t="shared" si="2"/>
        <v>-</v>
      </c>
      <c r="L41">
        <v>-5.0000000000000001E-3</v>
      </c>
      <c r="M41">
        <v>-3.3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-0.14000000000000001</v>
      </c>
      <c r="D42">
        <v>-8.4</v>
      </c>
      <c r="E42" t="str">
        <f t="shared" si="0"/>
        <v>-</v>
      </c>
      <c r="F42">
        <v>-0.01</v>
      </c>
      <c r="G42">
        <v>-9.3000000000000007</v>
      </c>
      <c r="H42" t="str">
        <f t="shared" si="1"/>
        <v>-</v>
      </c>
      <c r="I42" s="1">
        <v>0.08</v>
      </c>
      <c r="J42">
        <v>5.3</v>
      </c>
      <c r="K42" t="str">
        <f t="shared" si="2"/>
        <v>-</v>
      </c>
      <c r="L42">
        <v>1.2E-2</v>
      </c>
      <c r="M42">
        <v>12.2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-0.41</v>
      </c>
      <c r="D43">
        <v>-8.5</v>
      </c>
      <c r="E43" t="str">
        <f t="shared" si="0"/>
        <v>-</v>
      </c>
      <c r="F43">
        <v>-2.9000000000000001E-2</v>
      </c>
      <c r="G43">
        <v>-12.1</v>
      </c>
      <c r="H43" t="str">
        <f t="shared" si="1"/>
        <v>-</v>
      </c>
      <c r="I43" s="1">
        <v>-7.0000000000000007E-2</v>
      </c>
      <c r="J43">
        <v>-1.6</v>
      </c>
      <c r="K43" t="str">
        <f t="shared" si="2"/>
        <v>-</v>
      </c>
      <c r="L43">
        <v>-1E-3</v>
      </c>
      <c r="M43">
        <v>-0.5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-0.2</v>
      </c>
      <c r="D44">
        <v>-26.7</v>
      </c>
      <c r="E44" t="str">
        <f t="shared" si="0"/>
        <v>-</v>
      </c>
      <c r="F44">
        <v>-2.7E-2</v>
      </c>
      <c r="G44">
        <v>-34.200000000000003</v>
      </c>
      <c r="H44" t="str">
        <f t="shared" si="1"/>
        <v>-</v>
      </c>
      <c r="I44" s="1">
        <v>0.33</v>
      </c>
      <c r="J44">
        <v>60</v>
      </c>
      <c r="K44" t="str">
        <f t="shared" si="2"/>
        <v>?</v>
      </c>
      <c r="L44">
        <v>1.7999999999999999E-2</v>
      </c>
      <c r="M44">
        <v>34.6</v>
      </c>
      <c r="N44" s="2" t="str">
        <f t="shared" si="3"/>
        <v>-</v>
      </c>
    </row>
    <row r="45" spans="1:14">
      <c r="A45" s="11" t="s">
        <v>8</v>
      </c>
      <c r="B45" s="13">
        <v>0.8</v>
      </c>
      <c r="C45">
        <v>0.01</v>
      </c>
      <c r="D45">
        <v>0.4</v>
      </c>
      <c r="E45" t="str">
        <f t="shared" si="0"/>
        <v>-</v>
      </c>
      <c r="F45">
        <v>3.2000000000000001E-2</v>
      </c>
      <c r="G45">
        <v>24.6</v>
      </c>
      <c r="H45" t="str">
        <f t="shared" si="1"/>
        <v>-</v>
      </c>
      <c r="I45" s="1">
        <v>0.08</v>
      </c>
      <c r="J45">
        <v>3.3</v>
      </c>
      <c r="K45" t="str">
        <f t="shared" si="2"/>
        <v>-</v>
      </c>
      <c r="L45">
        <v>7.0000000000000001E-3</v>
      </c>
      <c r="M45">
        <v>4.3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-0.1</v>
      </c>
      <c r="D46">
        <v>-4.7</v>
      </c>
      <c r="E46" t="str">
        <f t="shared" si="0"/>
        <v>-</v>
      </c>
      <c r="F46">
        <v>3.2000000000000001E-2</v>
      </c>
      <c r="G46">
        <v>40.5</v>
      </c>
      <c r="H46" t="str">
        <f t="shared" si="1"/>
        <v>-</v>
      </c>
      <c r="I46" s="1">
        <v>0.11</v>
      </c>
      <c r="J46">
        <v>5.4</v>
      </c>
      <c r="K46" t="str">
        <f t="shared" si="2"/>
        <v>-</v>
      </c>
      <c r="L46">
        <v>0</v>
      </c>
      <c r="M46">
        <v>0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-0.61</v>
      </c>
      <c r="D47">
        <v>-10.1</v>
      </c>
      <c r="E47" t="str">
        <f t="shared" si="0"/>
        <v>-</v>
      </c>
      <c r="F47">
        <v>-0.05</v>
      </c>
      <c r="G47">
        <v>-16.5</v>
      </c>
      <c r="H47" t="str">
        <f t="shared" si="1"/>
        <v>-</v>
      </c>
      <c r="I47" s="1">
        <v>-0.17</v>
      </c>
      <c r="J47">
        <v>-3.1</v>
      </c>
      <c r="K47" t="str">
        <f t="shared" si="2"/>
        <v>-</v>
      </c>
      <c r="L47">
        <v>-6.0000000000000001E-3</v>
      </c>
      <c r="M47">
        <v>-2.4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-0.15</v>
      </c>
      <c r="D48">
        <v>-14.2</v>
      </c>
      <c r="E48" t="str">
        <f t="shared" si="0"/>
        <v>-</v>
      </c>
      <c r="F48">
        <v>-3.5999999999999997E-2</v>
      </c>
      <c r="G48">
        <v>-37.1</v>
      </c>
      <c r="H48" t="str">
        <f t="shared" si="1"/>
        <v>-</v>
      </c>
      <c r="I48" s="1">
        <v>-0.08</v>
      </c>
      <c r="J48">
        <v>-8.8000000000000007</v>
      </c>
      <c r="K48" t="str">
        <f t="shared" si="2"/>
        <v>-</v>
      </c>
      <c r="L48">
        <v>-4.0000000000000001E-3</v>
      </c>
      <c r="M48">
        <v>-6.6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0.13</v>
      </c>
      <c r="D49">
        <v>2.6</v>
      </c>
      <c r="E49" t="str">
        <f t="shared" si="0"/>
        <v>-</v>
      </c>
      <c r="F49">
        <v>8.6999999999999994E-2</v>
      </c>
      <c r="G49">
        <v>40.299999999999997</v>
      </c>
      <c r="H49" t="str">
        <f t="shared" si="1"/>
        <v>-</v>
      </c>
      <c r="I49" s="1">
        <v>0.01</v>
      </c>
      <c r="J49">
        <v>0.2</v>
      </c>
      <c r="K49" t="str">
        <f t="shared" si="2"/>
        <v>-</v>
      </c>
      <c r="L49">
        <v>-5.0000000000000001E-3</v>
      </c>
      <c r="M49">
        <v>-1.7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-0.01</v>
      </c>
      <c r="D50">
        <v>-0.2</v>
      </c>
      <c r="E50" t="str">
        <f t="shared" si="0"/>
        <v>-</v>
      </c>
      <c r="F50">
        <v>1.4999999999999999E-2</v>
      </c>
      <c r="G50">
        <v>9.1999999999999993</v>
      </c>
      <c r="H50" t="str">
        <f t="shared" si="1"/>
        <v>-</v>
      </c>
      <c r="I50" s="1">
        <v>-0.05</v>
      </c>
      <c r="J50">
        <v>-1.2</v>
      </c>
      <c r="K50" t="str">
        <f t="shared" si="2"/>
        <v>-</v>
      </c>
      <c r="L50">
        <v>-1E-3</v>
      </c>
      <c r="M50">
        <v>-0.6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-0.61</v>
      </c>
      <c r="D51">
        <v>-5.6</v>
      </c>
      <c r="E51" t="str">
        <f t="shared" si="0"/>
        <v>-</v>
      </c>
      <c r="F51">
        <v>1.2999999999999999E-2</v>
      </c>
      <c r="G51">
        <v>3.2</v>
      </c>
      <c r="H51" t="str">
        <f t="shared" si="1"/>
        <v>-</v>
      </c>
      <c r="I51" s="1">
        <v>-0.31</v>
      </c>
      <c r="J51">
        <v>-3</v>
      </c>
      <c r="K51" t="str">
        <f t="shared" si="2"/>
        <v>-</v>
      </c>
      <c r="L51">
        <v>-1.7000000000000001E-2</v>
      </c>
      <c r="M51">
        <v>-4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-0.21</v>
      </c>
      <c r="D52">
        <v>-8</v>
      </c>
      <c r="E52" t="str">
        <f t="shared" si="0"/>
        <v>-</v>
      </c>
      <c r="F52">
        <v>-1.7999999999999999E-2</v>
      </c>
      <c r="G52">
        <v>-19.399999999999999</v>
      </c>
      <c r="H52" t="str">
        <f t="shared" si="1"/>
        <v>-</v>
      </c>
      <c r="I52" s="1">
        <v>0.23</v>
      </c>
      <c r="J52">
        <v>9.6</v>
      </c>
      <c r="K52" t="str">
        <f t="shared" si="2"/>
        <v>-</v>
      </c>
      <c r="L52">
        <v>2.4E-2</v>
      </c>
      <c r="M52">
        <v>32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-0.16166666666666671</v>
      </c>
      <c r="D56">
        <f>AVERAGE(D$5:D$52)</f>
        <v>-6.1145833333333321</v>
      </c>
      <c r="F56">
        <f>AVERAGE(F$5:F$52)</f>
        <v>-3.9583333333333328E-3</v>
      </c>
      <c r="G56">
        <f>AVERAGE(G$5:G$52)</f>
        <v>0.38750000000000001</v>
      </c>
      <c r="I56" s="1">
        <f>AVERAGE(I$5:I$52)</f>
        <v>-6.4583333333333394E-3</v>
      </c>
      <c r="J56">
        <f>AVERAGE(J$5:J$52)</f>
        <v>3.2312499999999997</v>
      </c>
      <c r="L56">
        <f>AVERAGE(L$5:L$52)</f>
        <v>-3.1666666666666679E-3</v>
      </c>
      <c r="M56">
        <f>AVERAGE(M$5:M$52)</f>
        <v>-2.4937499999999999</v>
      </c>
    </row>
    <row r="57" spans="1:15">
      <c r="B57" s="4" t="s">
        <v>19</v>
      </c>
      <c r="C57">
        <f>MEDIAN(C$5:C$52)</f>
        <v>-0.115</v>
      </c>
      <c r="D57">
        <f>MEDIAN(D$5:D$52)</f>
        <v>-5.8</v>
      </c>
      <c r="F57">
        <f>MEDIAN(F$5:F$52)</f>
        <v>-3.5000000000000001E-3</v>
      </c>
      <c r="G57">
        <f>MEDIAN(G$5:G$52)</f>
        <v>-3.9499999999999997</v>
      </c>
      <c r="I57" s="1">
        <f>MEDIAN(I$5:I$52)</f>
        <v>0</v>
      </c>
      <c r="J57">
        <f>MEDIAN(J$5:J$52)</f>
        <v>0</v>
      </c>
      <c r="L57">
        <f>MEDIAN(L$5:L$52)</f>
        <v>-3.5000000000000001E-3</v>
      </c>
      <c r="M57">
        <f>MEDIAN(M$5:M$52)</f>
        <v>-2</v>
      </c>
    </row>
    <row r="58" spans="1:15">
      <c r="B58" s="4" t="s">
        <v>20</v>
      </c>
      <c r="C58">
        <f>STDEV(C$5:C$52)</f>
        <v>0.26530057889707021</v>
      </c>
      <c r="D58">
        <f>STDEV(D$5:D$52)</f>
        <v>12.168550143244369</v>
      </c>
      <c r="F58">
        <f>STDEV(F$5:F$52)</f>
        <v>2.7168472289122603E-2</v>
      </c>
      <c r="G58">
        <f>STDEV(G$5:G$52)</f>
        <v>22.350016659520662</v>
      </c>
      <c r="I58" s="1">
        <f>STDEV(I$5:I$52)</f>
        <v>0.14549240798111029</v>
      </c>
      <c r="J58">
        <f>STDEV(J$5:J$52)</f>
        <v>15.333236827093774</v>
      </c>
      <c r="L58">
        <f>STDEV(L$5:L$52)</f>
        <v>1.0567580558729998E-2</v>
      </c>
      <c r="M58">
        <f>STDEV(M$5:M$52)</f>
        <v>12.399989812109748</v>
      </c>
    </row>
    <row r="59" spans="1:15">
      <c r="B59" s="4" t="s">
        <v>21</v>
      </c>
      <c r="C59">
        <f>COUNTIF(C$5:C$52, "&lt;0")</f>
        <v>32</v>
      </c>
      <c r="D59">
        <f>COUNTIF(D$5:D$52, "&lt;0")</f>
        <v>32</v>
      </c>
      <c r="F59">
        <f>COUNTIF(F$5:F$52, "&lt;0")</f>
        <v>26</v>
      </c>
      <c r="G59">
        <f>COUNTIF(G$5:G$52, "&lt;0")</f>
        <v>26</v>
      </c>
      <c r="I59" s="1">
        <f>COUNTIF(I$5:I$52, "&lt;0")</f>
        <v>23</v>
      </c>
      <c r="J59">
        <f>COUNTIF(J$5:J$52, "&lt;0")</f>
        <v>23</v>
      </c>
      <c r="L59">
        <f>COUNTIF(L$5:L$52, "&lt;0")</f>
        <v>33</v>
      </c>
      <c r="M59">
        <f>COUNTIF(M$5:M$52, "&lt;0")</f>
        <v>33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-0.14916666666666667</v>
      </c>
      <c r="D63">
        <f>AVERAGE(D$5:D$28)</f>
        <v>-4.1166666666666654</v>
      </c>
      <c r="F63">
        <f>AVERAGE(F$5:F$28)</f>
        <v>-3.1250000000000006E-3</v>
      </c>
      <c r="G63">
        <f>AVERAGE(G$5:G$28)</f>
        <v>2.8583333333333329</v>
      </c>
      <c r="I63" s="1">
        <f>AVERAGE(I$5:I$28)</f>
        <v>-4.2083333333333341E-2</v>
      </c>
      <c r="J63">
        <f>AVERAGE(J$5:J$28)</f>
        <v>1.7708333333333333</v>
      </c>
      <c r="L63">
        <f>AVERAGE(L$5:L$28)</f>
        <v>-7.208333333333334E-3</v>
      </c>
      <c r="M63">
        <f>AVERAGE(M$5:M$28)</f>
        <v>-7.0708333333333329</v>
      </c>
    </row>
    <row r="64" spans="1:15">
      <c r="B64" s="4" t="s">
        <v>19</v>
      </c>
      <c r="C64">
        <f>MEDIAN(C$5:C$28)</f>
        <v>-2.5000000000000001E-2</v>
      </c>
      <c r="D64">
        <f>MEDIAN(D$5:D$28)</f>
        <v>-1.75</v>
      </c>
      <c r="F64">
        <f>MEDIAN(F$5:F$28)</f>
        <v>2E-3</v>
      </c>
      <c r="G64">
        <f>MEDIAN(G$5:G$28)</f>
        <v>2.75</v>
      </c>
      <c r="I64" s="1">
        <f>MEDIAN(I$5:I$28)</f>
        <v>-3.5000000000000003E-2</v>
      </c>
      <c r="J64">
        <f>MEDIAN(J$5:J$28)</f>
        <v>-1.8</v>
      </c>
      <c r="L64">
        <f>MEDIAN(L$5:L$28)</f>
        <v>-6.5000000000000006E-3</v>
      </c>
      <c r="M64">
        <f>MEDIAN(M$5:M$28)</f>
        <v>-3.95</v>
      </c>
    </row>
    <row r="65" spans="2:13">
      <c r="B65" s="4" t="s">
        <v>20</v>
      </c>
      <c r="C65">
        <f>STDEV(C$5:C$28)</f>
        <v>0.30192018332905352</v>
      </c>
      <c r="D65">
        <f>STDEV(D$5:D$28)</f>
        <v>11.393807115258278</v>
      </c>
      <c r="F65">
        <f>STDEV(F$5:F$28)</f>
        <v>2.1770168060704181E-2</v>
      </c>
      <c r="G65">
        <f>STDEV(G$5:G$28)</f>
        <v>18.392458678270398</v>
      </c>
      <c r="I65" s="1">
        <f>STDEV(I$5:I$28)</f>
        <v>0.14518291810727918</v>
      </c>
      <c r="J65">
        <f>STDEV(J$5:J$28)</f>
        <v>15.53927644129033</v>
      </c>
      <c r="L65">
        <f>STDEV(L$5:L$28)</f>
        <v>8.7226799166045411E-3</v>
      </c>
      <c r="M65">
        <f>STDEV(M$5:M$28)</f>
        <v>10.220119933213864</v>
      </c>
    </row>
    <row r="66" spans="2:13">
      <c r="B66" s="4" t="s">
        <v>21</v>
      </c>
      <c r="C66">
        <f>COUNTIF(C$5:C$28, "&lt;0")</f>
        <v>13</v>
      </c>
      <c r="D66">
        <f>COUNTIF(D$5:D$28, "&lt;0")</f>
        <v>13</v>
      </c>
      <c r="F66">
        <f>COUNTIF(F$5:F$28, "&lt;0")</f>
        <v>11</v>
      </c>
      <c r="G66">
        <f>COUNTIF(G$5:G$28, "&lt;0")</f>
        <v>11</v>
      </c>
      <c r="I66" s="1">
        <f>COUNTIF(I$5:I$28, "&lt;0")</f>
        <v>14</v>
      </c>
      <c r="J66">
        <f>COUNTIF(J$5:J$28, "&lt;0")</f>
        <v>14</v>
      </c>
      <c r="L66">
        <f>COUNTIF(L$5:L$28, "&lt;0")</f>
        <v>19</v>
      </c>
      <c r="M66">
        <f>COUNTIF(M$5:M$28, "&lt;0")</f>
        <v>19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-0.17416666666666669</v>
      </c>
      <c r="D70">
        <f>AVERAGE(D$29:D$52)</f>
        <v>-8.1124999999999989</v>
      </c>
      <c r="F70">
        <f>AVERAGE(F$29:F$52)</f>
        <v>-4.7916666666666672E-3</v>
      </c>
      <c r="G70">
        <f>AVERAGE(G$29:G$52)</f>
        <v>-2.0833333333333339</v>
      </c>
      <c r="I70" s="1">
        <f>AVERAGE(I$29:I$52)</f>
        <v>2.9166666666666671E-2</v>
      </c>
      <c r="J70">
        <f>AVERAGE(J$29:J$52)</f>
        <v>4.6916666666666664</v>
      </c>
      <c r="L70">
        <f>AVERAGE(L$29:L$52)</f>
        <v>8.7499999999999991E-4</v>
      </c>
      <c r="M70">
        <f>AVERAGE(M$29:M$52)</f>
        <v>2.0833333333333335</v>
      </c>
    </row>
    <row r="71" spans="2:13">
      <c r="B71" s="4" t="s">
        <v>19</v>
      </c>
      <c r="C71">
        <f>MEDIAN(C$29:C$52)</f>
        <v>-0.16999999999999998</v>
      </c>
      <c r="D71">
        <f>MEDIAN(D$29:D$52)</f>
        <v>-8.75</v>
      </c>
      <c r="F71">
        <f>MEDIAN(F$29:F$52)</f>
        <v>-1.0499999999999999E-2</v>
      </c>
      <c r="G71">
        <f>MEDIAN(G$29:G$52)</f>
        <v>-9.8000000000000007</v>
      </c>
      <c r="I71" s="1">
        <f>MEDIAN(I$29:I$52)</f>
        <v>2.5000000000000001E-2</v>
      </c>
      <c r="J71">
        <f>MEDIAN(J$29:J$52)</f>
        <v>0.75</v>
      </c>
      <c r="L71">
        <f>MEDIAN(L$29:L$52)</f>
        <v>-1E-3</v>
      </c>
      <c r="M71">
        <f>MEDIAN(M$29:M$52)</f>
        <v>-0.8</v>
      </c>
    </row>
    <row r="72" spans="2:13">
      <c r="B72" s="4" t="s">
        <v>20</v>
      </c>
      <c r="C72">
        <f>STDEV(C$29:C$52)</f>
        <v>0.22879488947368415</v>
      </c>
      <c r="D72">
        <f>STDEV(D$29:D$52)</f>
        <v>12.823257149142863</v>
      </c>
      <c r="F72">
        <f>STDEV(F$29:F$52)</f>
        <v>3.2139612787725487E-2</v>
      </c>
      <c r="G72">
        <f>STDEV(G$29:G$52)</f>
        <v>25.87936338620721</v>
      </c>
      <c r="I72" s="1">
        <f>STDEV(I$29:I$52)</f>
        <v>0.13974873933215834</v>
      </c>
      <c r="J72">
        <f>STDEV(J$29:J$52)</f>
        <v>15.313986692099386</v>
      </c>
      <c r="L72">
        <f>STDEV(L$29:L$52)</f>
        <v>1.0864031199929586E-2</v>
      </c>
      <c r="M72">
        <f>STDEV(M$29:M$52)</f>
        <v>12.885369751124273</v>
      </c>
    </row>
    <row r="73" spans="2:13">
      <c r="B73" s="4" t="s">
        <v>21</v>
      </c>
      <c r="C73">
        <f>COUNTIF(C$29:C$52, "&lt;0")</f>
        <v>19</v>
      </c>
      <c r="D73">
        <f>COUNTIF(D$29:D$52, "&lt;0")</f>
        <v>19</v>
      </c>
      <c r="F73">
        <f>COUNTIF(F$29:F$52, "&lt;0")</f>
        <v>15</v>
      </c>
      <c r="G73">
        <f>COUNTIF(G$29:G$52, "&lt;0")</f>
        <v>15</v>
      </c>
      <c r="I73" s="1">
        <f>COUNTIF(I$29:I$52, "&lt;0")</f>
        <v>9</v>
      </c>
      <c r="J73">
        <f>COUNTIF(J$29:J$52, "&lt;0")</f>
        <v>9</v>
      </c>
      <c r="L73">
        <f>COUNTIF(L$29:L$52, "&lt;0")</f>
        <v>14</v>
      </c>
      <c r="M73">
        <f>COUNTIF(M$29:M$52, "&lt;0")</f>
        <v>14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52E5-5E83-4FC3-A09B-42BC53776AF4}">
  <dimension ref="A1:O73"/>
  <sheetViews>
    <sheetView topLeftCell="A13" workbookViewId="0">
      <selection activeCell="M5" sqref="M5:M52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26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0.08</v>
      </c>
      <c r="D5">
        <v>5.2</v>
      </c>
      <c r="E5" t="str">
        <f>IF(ABS(D5)&gt;50,"?","-")</f>
        <v>-</v>
      </c>
      <c r="F5">
        <v>1.0999999999999999E-2</v>
      </c>
      <c r="G5">
        <v>7.7</v>
      </c>
      <c r="H5" t="str">
        <f>IF(ABS(G5)&gt;50,"?","-")</f>
        <v>-</v>
      </c>
      <c r="I5" s="1">
        <v>-0.02</v>
      </c>
      <c r="J5">
        <v>-1.2</v>
      </c>
      <c r="K5" t="str">
        <f>IF(ABS(J5)&gt;50,"?","-")</f>
        <v>-</v>
      </c>
      <c r="L5">
        <v>-7.0000000000000001E-3</v>
      </c>
      <c r="M5">
        <v>-4.5999999999999996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-0.01</v>
      </c>
      <c r="D6">
        <v>-0.7</v>
      </c>
      <c r="E6" t="str">
        <f t="shared" ref="E6:E52" si="0">IF(ABS(D6)&gt;50,"?","-")</f>
        <v>-</v>
      </c>
      <c r="F6">
        <v>-3.0000000000000001E-3</v>
      </c>
      <c r="G6">
        <v>-2.9</v>
      </c>
      <c r="H6" t="str">
        <f t="shared" ref="H6:H52" si="1">IF(ABS(G6)&gt;50,"?","-")</f>
        <v>-</v>
      </c>
      <c r="I6" s="1">
        <v>0.08</v>
      </c>
      <c r="J6">
        <v>6</v>
      </c>
      <c r="K6" t="str">
        <f t="shared" ref="K6:K52" si="2">IF(ABS(J6)&gt;50,"?","-")</f>
        <v>-</v>
      </c>
      <c r="L6">
        <v>0.01</v>
      </c>
      <c r="M6">
        <v>9.9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-0.6</v>
      </c>
      <c r="D7">
        <v>-12.5</v>
      </c>
      <c r="E7" t="str">
        <f t="shared" si="0"/>
        <v>-</v>
      </c>
      <c r="F7">
        <v>-2.4E-2</v>
      </c>
      <c r="G7">
        <v>-7.8</v>
      </c>
      <c r="H7" t="str">
        <f t="shared" si="1"/>
        <v>-</v>
      </c>
      <c r="I7" s="1">
        <v>-0.06</v>
      </c>
      <c r="J7">
        <v>-1.4</v>
      </c>
      <c r="K7" t="str">
        <f t="shared" si="2"/>
        <v>-</v>
      </c>
      <c r="L7">
        <v>-0.01</v>
      </c>
      <c r="M7">
        <v>-3.5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-0.34</v>
      </c>
      <c r="D8">
        <v>-23.1</v>
      </c>
      <c r="E8" t="str">
        <f t="shared" si="0"/>
        <v>-</v>
      </c>
      <c r="F8">
        <v>-1.4E-2</v>
      </c>
      <c r="G8">
        <v>-10.4</v>
      </c>
      <c r="H8" t="str">
        <f t="shared" si="1"/>
        <v>-</v>
      </c>
      <c r="I8" s="1">
        <v>0.35</v>
      </c>
      <c r="J8">
        <v>31</v>
      </c>
      <c r="K8" t="str">
        <f t="shared" si="2"/>
        <v>-</v>
      </c>
      <c r="L8">
        <v>2.9000000000000001E-2</v>
      </c>
      <c r="M8">
        <v>24.2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-7.0000000000000007E-2</v>
      </c>
      <c r="D9">
        <v>-4.8</v>
      </c>
      <c r="E9" t="str">
        <f t="shared" si="0"/>
        <v>-</v>
      </c>
      <c r="F9">
        <v>-4.0000000000000001E-3</v>
      </c>
      <c r="G9">
        <v>-3.4</v>
      </c>
      <c r="H9" t="str">
        <f t="shared" si="1"/>
        <v>-</v>
      </c>
      <c r="I9" s="1">
        <v>-0.01</v>
      </c>
      <c r="J9">
        <v>-0.7</v>
      </c>
      <c r="K9" t="str">
        <f t="shared" si="2"/>
        <v>-</v>
      </c>
      <c r="L9">
        <v>-1E-3</v>
      </c>
      <c r="M9">
        <v>-0.9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-0.11</v>
      </c>
      <c r="D10">
        <v>-8.5</v>
      </c>
      <c r="E10" t="str">
        <f t="shared" si="0"/>
        <v>-</v>
      </c>
      <c r="F10">
        <v>0.01</v>
      </c>
      <c r="G10">
        <v>10.4</v>
      </c>
      <c r="H10" t="str">
        <f t="shared" si="1"/>
        <v>-</v>
      </c>
      <c r="I10" s="1">
        <v>0.1</v>
      </c>
      <c r="J10">
        <v>8.5</v>
      </c>
      <c r="K10" t="str">
        <f t="shared" si="2"/>
        <v>-</v>
      </c>
      <c r="L10">
        <v>-3.0000000000000001E-3</v>
      </c>
      <c r="M10">
        <v>-2.8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0.75</v>
      </c>
      <c r="D11">
        <v>24.5</v>
      </c>
      <c r="E11" t="str">
        <f t="shared" si="0"/>
        <v>-</v>
      </c>
      <c r="F11">
        <v>-1E-3</v>
      </c>
      <c r="G11">
        <v>-0.4</v>
      </c>
      <c r="H11" t="str">
        <f t="shared" si="1"/>
        <v>-</v>
      </c>
      <c r="I11" s="1">
        <v>-0.1</v>
      </c>
      <c r="J11">
        <v>-2.6</v>
      </c>
      <c r="K11" t="str">
        <f t="shared" si="2"/>
        <v>-</v>
      </c>
      <c r="L11">
        <v>2E-3</v>
      </c>
      <c r="M11">
        <v>0.8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-0.35</v>
      </c>
      <c r="D12">
        <v>-32.1</v>
      </c>
      <c r="E12" t="str">
        <f t="shared" si="0"/>
        <v>-</v>
      </c>
      <c r="F12">
        <v>-7.0000000000000001E-3</v>
      </c>
      <c r="G12">
        <v>-7</v>
      </c>
      <c r="H12" t="str">
        <f t="shared" si="1"/>
        <v>-</v>
      </c>
      <c r="I12" s="1">
        <v>0.32</v>
      </c>
      <c r="J12">
        <v>43.2</v>
      </c>
      <c r="K12" t="str">
        <f t="shared" si="2"/>
        <v>-</v>
      </c>
      <c r="L12">
        <v>2E-3</v>
      </c>
      <c r="M12">
        <v>2.2000000000000002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-0.06</v>
      </c>
      <c r="D13">
        <v>-4.3</v>
      </c>
      <c r="E13" t="str">
        <f t="shared" si="0"/>
        <v>-</v>
      </c>
      <c r="F13">
        <v>-1.4E-2</v>
      </c>
      <c r="G13">
        <v>-9.9</v>
      </c>
      <c r="H13" t="str">
        <f t="shared" si="1"/>
        <v>-</v>
      </c>
      <c r="I13" s="1">
        <v>-7.0000000000000007E-2</v>
      </c>
      <c r="J13">
        <v>-5.3</v>
      </c>
      <c r="K13" t="str">
        <f t="shared" si="2"/>
        <v>-</v>
      </c>
      <c r="L13">
        <v>-5.0000000000000001E-3</v>
      </c>
      <c r="M13">
        <v>-3.9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-0.16</v>
      </c>
      <c r="D14">
        <v>-13.3</v>
      </c>
      <c r="E14" t="str">
        <f t="shared" si="0"/>
        <v>-</v>
      </c>
      <c r="F14">
        <v>-1.6E-2</v>
      </c>
      <c r="G14">
        <v>-16.5</v>
      </c>
      <c r="H14" t="str">
        <f t="shared" si="1"/>
        <v>-</v>
      </c>
      <c r="I14" s="1">
        <v>0.15</v>
      </c>
      <c r="J14">
        <v>14.4</v>
      </c>
      <c r="K14" t="str">
        <f t="shared" si="2"/>
        <v>-</v>
      </c>
      <c r="L14">
        <v>1.6E-2</v>
      </c>
      <c r="M14">
        <v>19.8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-0.56000000000000005</v>
      </c>
      <c r="D15">
        <v>-16.3</v>
      </c>
      <c r="E15" t="str">
        <f t="shared" si="0"/>
        <v>-</v>
      </c>
      <c r="F15">
        <v>-3.6999999999999998E-2</v>
      </c>
      <c r="G15">
        <v>-15</v>
      </c>
      <c r="H15" t="str">
        <f t="shared" si="1"/>
        <v>-</v>
      </c>
      <c r="I15" s="1">
        <v>-0.06</v>
      </c>
      <c r="J15">
        <v>-2.1</v>
      </c>
      <c r="K15" t="str">
        <f t="shared" si="2"/>
        <v>-</v>
      </c>
      <c r="L15">
        <v>-2E-3</v>
      </c>
      <c r="M15">
        <v>-1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-0.04</v>
      </c>
      <c r="D16">
        <v>-4.8</v>
      </c>
      <c r="E16" t="str">
        <f t="shared" si="0"/>
        <v>-</v>
      </c>
      <c r="F16">
        <v>0</v>
      </c>
      <c r="G16">
        <v>0</v>
      </c>
      <c r="H16" t="str">
        <f t="shared" si="1"/>
        <v>-</v>
      </c>
      <c r="I16" s="1">
        <v>-0.02</v>
      </c>
      <c r="J16">
        <v>-2.5</v>
      </c>
      <c r="K16" t="str">
        <f t="shared" si="2"/>
        <v>-</v>
      </c>
      <c r="L16">
        <v>-3.7999999999999999E-2</v>
      </c>
      <c r="M16">
        <v>-33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-0.13</v>
      </c>
      <c r="D17">
        <v>-10.6</v>
      </c>
      <c r="E17" t="str">
        <f t="shared" si="0"/>
        <v>-</v>
      </c>
      <c r="F17">
        <v>-1.9E-2</v>
      </c>
      <c r="G17">
        <v>-14.3</v>
      </c>
      <c r="H17" t="str">
        <f t="shared" si="1"/>
        <v>-</v>
      </c>
      <c r="I17" s="1">
        <v>0.03</v>
      </c>
      <c r="J17">
        <v>2.7</v>
      </c>
      <c r="K17" t="str">
        <f t="shared" si="2"/>
        <v>-</v>
      </c>
      <c r="L17">
        <v>1E-3</v>
      </c>
      <c r="M17">
        <v>0.9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-0.19</v>
      </c>
      <c r="D18">
        <v>-17.8</v>
      </c>
      <c r="E18" t="str">
        <f t="shared" si="0"/>
        <v>-</v>
      </c>
      <c r="F18">
        <v>-2.3E-2</v>
      </c>
      <c r="G18">
        <v>-24.5</v>
      </c>
      <c r="H18" t="str">
        <f t="shared" si="1"/>
        <v>-</v>
      </c>
      <c r="I18" s="1">
        <v>0.03</v>
      </c>
      <c r="J18">
        <v>3.4</v>
      </c>
      <c r="K18" t="str">
        <f t="shared" si="2"/>
        <v>-</v>
      </c>
      <c r="L18">
        <v>-1E-3</v>
      </c>
      <c r="M18">
        <v>-1.4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-0.05</v>
      </c>
      <c r="D19">
        <v>-1.8</v>
      </c>
      <c r="E19" t="str">
        <f t="shared" si="0"/>
        <v>-</v>
      </c>
      <c r="F19">
        <v>-2.9000000000000001E-2</v>
      </c>
      <c r="G19">
        <v>-15.3</v>
      </c>
      <c r="H19" t="str">
        <f t="shared" si="1"/>
        <v>-</v>
      </c>
      <c r="I19" s="1">
        <v>-0.28999999999999998</v>
      </c>
      <c r="J19">
        <v>-10.6</v>
      </c>
      <c r="K19" t="str">
        <f t="shared" si="2"/>
        <v>-</v>
      </c>
      <c r="L19">
        <v>3.0000000000000001E-3</v>
      </c>
      <c r="M19">
        <v>1.9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0</v>
      </c>
      <c r="D20">
        <v>0</v>
      </c>
      <c r="E20" t="str">
        <f t="shared" si="0"/>
        <v>-</v>
      </c>
      <c r="F20">
        <v>1.0999999999999999E-2</v>
      </c>
      <c r="G20">
        <v>13.1</v>
      </c>
      <c r="H20" t="str">
        <f t="shared" si="1"/>
        <v>-</v>
      </c>
      <c r="I20" s="1">
        <v>0.02</v>
      </c>
      <c r="J20">
        <v>2.9</v>
      </c>
      <c r="K20" t="str">
        <f t="shared" si="2"/>
        <v>-</v>
      </c>
      <c r="L20">
        <v>2E-3</v>
      </c>
      <c r="M20">
        <v>2.1</v>
      </c>
      <c r="N20" s="2" t="str">
        <f t="shared" si="3"/>
        <v>-</v>
      </c>
    </row>
    <row r="21" spans="1:14">
      <c r="A21" s="11" t="s">
        <v>8</v>
      </c>
      <c r="B21" s="12" t="s">
        <v>16</v>
      </c>
      <c r="C21">
        <v>-0.11</v>
      </c>
      <c r="D21">
        <v>-9.6</v>
      </c>
      <c r="E21" t="str">
        <f t="shared" si="0"/>
        <v>-</v>
      </c>
      <c r="F21">
        <v>-2.1000000000000001E-2</v>
      </c>
      <c r="G21">
        <v>-18.899999999999999</v>
      </c>
      <c r="H21" t="str">
        <f t="shared" si="1"/>
        <v>-</v>
      </c>
      <c r="I21" s="1">
        <v>0.05</v>
      </c>
      <c r="J21">
        <v>4.8</v>
      </c>
      <c r="K21" t="str">
        <f t="shared" si="2"/>
        <v>-</v>
      </c>
      <c r="L21">
        <v>5.0000000000000001E-3</v>
      </c>
      <c r="M21">
        <v>5.6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0.01</v>
      </c>
      <c r="D22">
        <v>1</v>
      </c>
      <c r="E22" t="str">
        <f t="shared" si="0"/>
        <v>-</v>
      </c>
      <c r="F22">
        <v>-2.5000000000000001E-2</v>
      </c>
      <c r="G22">
        <v>-23.1</v>
      </c>
      <c r="H22" t="str">
        <f t="shared" si="1"/>
        <v>-</v>
      </c>
      <c r="I22" s="1">
        <v>0</v>
      </c>
      <c r="J22">
        <v>0</v>
      </c>
      <c r="K22" t="str">
        <f t="shared" si="2"/>
        <v>-</v>
      </c>
      <c r="L22">
        <v>2.1999999999999999E-2</v>
      </c>
      <c r="M22">
        <v>26.5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-0.5</v>
      </c>
      <c r="D23">
        <v>-14.7</v>
      </c>
      <c r="E23" t="str">
        <f t="shared" si="0"/>
        <v>-</v>
      </c>
      <c r="F23">
        <v>-2.4E-2</v>
      </c>
      <c r="G23">
        <v>-11.5</v>
      </c>
      <c r="H23" t="str">
        <f t="shared" si="1"/>
        <v>-</v>
      </c>
      <c r="I23" s="1">
        <v>0.11</v>
      </c>
      <c r="J23">
        <v>3.8</v>
      </c>
      <c r="K23" t="str">
        <f t="shared" si="2"/>
        <v>-</v>
      </c>
      <c r="L23">
        <v>3.0000000000000001E-3</v>
      </c>
      <c r="M23">
        <v>1.6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0.08</v>
      </c>
      <c r="D24">
        <v>11.8</v>
      </c>
      <c r="E24" t="str">
        <f t="shared" si="0"/>
        <v>-</v>
      </c>
      <c r="F24">
        <v>3.3000000000000002E-2</v>
      </c>
      <c r="G24">
        <v>50</v>
      </c>
      <c r="H24" t="str">
        <f t="shared" si="1"/>
        <v>-</v>
      </c>
      <c r="I24" s="1">
        <v>-0.1</v>
      </c>
      <c r="J24">
        <v>-13.2</v>
      </c>
      <c r="K24" t="str">
        <f t="shared" si="2"/>
        <v>-</v>
      </c>
      <c r="L24">
        <v>-1.7999999999999999E-2</v>
      </c>
      <c r="M24">
        <v>-18.2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-0.27</v>
      </c>
      <c r="D25">
        <v>-15.2</v>
      </c>
      <c r="E25" t="str">
        <f t="shared" si="0"/>
        <v>-</v>
      </c>
      <c r="F25">
        <v>-1.7999999999999999E-2</v>
      </c>
      <c r="G25">
        <v>-13.5</v>
      </c>
      <c r="H25" t="str">
        <f t="shared" si="1"/>
        <v>-</v>
      </c>
      <c r="I25" s="1">
        <v>0.17</v>
      </c>
      <c r="J25">
        <v>11.3</v>
      </c>
      <c r="K25" t="str">
        <f t="shared" si="2"/>
        <v>-</v>
      </c>
      <c r="L25">
        <v>-3.0000000000000001E-3</v>
      </c>
      <c r="M25">
        <v>-2.6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-0.1</v>
      </c>
      <c r="D26">
        <v>-7.5</v>
      </c>
      <c r="E26" t="str">
        <f t="shared" si="0"/>
        <v>-</v>
      </c>
      <c r="F26">
        <v>-7.0000000000000001E-3</v>
      </c>
      <c r="G26">
        <v>-6.1</v>
      </c>
      <c r="H26" t="str">
        <f t="shared" si="1"/>
        <v>-</v>
      </c>
      <c r="I26" s="1">
        <v>-0.02</v>
      </c>
      <c r="J26">
        <v>-1.6</v>
      </c>
      <c r="K26" t="str">
        <f t="shared" si="2"/>
        <v>-</v>
      </c>
      <c r="L26">
        <v>-5.0000000000000001E-3</v>
      </c>
      <c r="M26">
        <v>-4.5999999999999996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0.72</v>
      </c>
      <c r="D27">
        <v>25.4</v>
      </c>
      <c r="E27" t="str">
        <f t="shared" si="0"/>
        <v>-</v>
      </c>
      <c r="F27">
        <v>3.0000000000000001E-3</v>
      </c>
      <c r="G27">
        <v>2</v>
      </c>
      <c r="H27" t="str">
        <f t="shared" si="1"/>
        <v>-</v>
      </c>
      <c r="I27" s="1">
        <v>0</v>
      </c>
      <c r="J27">
        <v>0</v>
      </c>
      <c r="K27" t="str">
        <f t="shared" si="2"/>
        <v>-</v>
      </c>
      <c r="L27">
        <v>-1.4E-2</v>
      </c>
      <c r="M27">
        <v>-9.1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7.0000000000000007E-2</v>
      </c>
      <c r="D28">
        <v>10.9</v>
      </c>
      <c r="E28" t="str">
        <f t="shared" si="0"/>
        <v>-</v>
      </c>
      <c r="F28">
        <v>1.2E-2</v>
      </c>
      <c r="G28">
        <v>19</v>
      </c>
      <c r="H28" t="str">
        <f t="shared" si="1"/>
        <v>-</v>
      </c>
      <c r="I28" s="1">
        <v>0.04</v>
      </c>
      <c r="J28">
        <v>5.6</v>
      </c>
      <c r="K28" t="str">
        <f t="shared" si="2"/>
        <v>-</v>
      </c>
      <c r="L28">
        <v>1.4999999999999999E-2</v>
      </c>
      <c r="M28">
        <v>20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-0.03</v>
      </c>
      <c r="D29">
        <v>-2.6</v>
      </c>
      <c r="E29" t="str">
        <f t="shared" si="0"/>
        <v>-</v>
      </c>
      <c r="F29">
        <v>-1.0999999999999999E-2</v>
      </c>
      <c r="G29">
        <v>-10.8</v>
      </c>
      <c r="H29" t="str">
        <f t="shared" si="1"/>
        <v>-</v>
      </c>
      <c r="I29" s="1">
        <v>-0.26</v>
      </c>
      <c r="J29">
        <v>-22.8</v>
      </c>
      <c r="K29" t="str">
        <f t="shared" si="2"/>
        <v>-</v>
      </c>
      <c r="L29">
        <v>-8.9999999999999993E-3</v>
      </c>
      <c r="M29">
        <v>-9.9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-0.25</v>
      </c>
      <c r="D30">
        <v>-21.2</v>
      </c>
      <c r="E30" t="str">
        <f t="shared" si="0"/>
        <v>-</v>
      </c>
      <c r="F30">
        <v>-2.1000000000000001E-2</v>
      </c>
      <c r="G30">
        <v>-17.8</v>
      </c>
      <c r="H30" t="str">
        <f t="shared" si="1"/>
        <v>-</v>
      </c>
      <c r="I30" s="1">
        <v>0.13</v>
      </c>
      <c r="J30">
        <v>14</v>
      </c>
      <c r="K30" t="str">
        <f t="shared" si="2"/>
        <v>-</v>
      </c>
      <c r="L30">
        <v>8.9999999999999993E-3</v>
      </c>
      <c r="M30">
        <v>9.3000000000000007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-0.05</v>
      </c>
      <c r="D31">
        <v>-2.8</v>
      </c>
      <c r="E31" t="str">
        <f t="shared" si="0"/>
        <v>-</v>
      </c>
      <c r="F31">
        <v>-0.03</v>
      </c>
      <c r="G31">
        <v>-19.600000000000001</v>
      </c>
      <c r="H31" t="str">
        <f t="shared" si="1"/>
        <v>-</v>
      </c>
      <c r="I31" s="1">
        <v>-0.37</v>
      </c>
      <c r="J31">
        <v>-21.3</v>
      </c>
      <c r="K31" t="str">
        <f t="shared" si="2"/>
        <v>-</v>
      </c>
      <c r="L31">
        <v>-1.7000000000000001E-2</v>
      </c>
      <c r="M31">
        <v>-13.8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-0.22</v>
      </c>
      <c r="D32">
        <v>-21.8</v>
      </c>
      <c r="E32" t="str">
        <f t="shared" si="0"/>
        <v>-</v>
      </c>
      <c r="F32">
        <v>-4.1000000000000002E-2</v>
      </c>
      <c r="G32">
        <v>-34.5</v>
      </c>
      <c r="H32" t="str">
        <f t="shared" si="1"/>
        <v>-</v>
      </c>
      <c r="I32" s="1">
        <v>-0.01</v>
      </c>
      <c r="J32">
        <v>-1.3</v>
      </c>
      <c r="K32" t="str">
        <f t="shared" si="2"/>
        <v>-</v>
      </c>
      <c r="L32">
        <v>-5.0000000000000001E-3</v>
      </c>
      <c r="M32">
        <v>-6.4</v>
      </c>
      <c r="N32" s="2" t="str">
        <f t="shared" si="3"/>
        <v>-</v>
      </c>
    </row>
    <row r="33" spans="1:14">
      <c r="A33" s="11" t="s">
        <v>8</v>
      </c>
      <c r="B33" s="13">
        <v>0.5</v>
      </c>
      <c r="C33">
        <v>-7.0000000000000007E-2</v>
      </c>
      <c r="D33">
        <v>-6.2</v>
      </c>
      <c r="E33" t="str">
        <f t="shared" si="0"/>
        <v>-</v>
      </c>
      <c r="F33">
        <v>-1.0999999999999999E-2</v>
      </c>
      <c r="G33">
        <v>-9.6999999999999993</v>
      </c>
      <c r="H33" t="str">
        <f t="shared" si="1"/>
        <v>-</v>
      </c>
      <c r="I33" s="1">
        <v>-0.05</v>
      </c>
      <c r="J33">
        <v>-4.7</v>
      </c>
      <c r="K33" t="str">
        <f t="shared" si="2"/>
        <v>-</v>
      </c>
      <c r="L33">
        <v>-5.0000000000000001E-3</v>
      </c>
      <c r="M33">
        <v>-4.9000000000000004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-7.0000000000000007E-2</v>
      </c>
      <c r="D34">
        <v>-7.7</v>
      </c>
      <c r="E34" t="str">
        <f t="shared" si="0"/>
        <v>-</v>
      </c>
      <c r="F34">
        <v>2E-3</v>
      </c>
      <c r="G34">
        <v>2.2000000000000002</v>
      </c>
      <c r="H34" t="str">
        <f t="shared" si="1"/>
        <v>-</v>
      </c>
      <c r="I34" s="1">
        <v>-0.01</v>
      </c>
      <c r="J34">
        <v>-1.2</v>
      </c>
      <c r="K34" t="str">
        <f t="shared" si="2"/>
        <v>-</v>
      </c>
      <c r="L34">
        <v>2E-3</v>
      </c>
      <c r="M34">
        <v>2.2000000000000002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-0.28000000000000003</v>
      </c>
      <c r="D35">
        <v>-11.6</v>
      </c>
      <c r="E35" t="str">
        <f t="shared" si="0"/>
        <v>-</v>
      </c>
      <c r="F35">
        <v>-7.0000000000000001E-3</v>
      </c>
      <c r="G35">
        <v>-4.9000000000000004</v>
      </c>
      <c r="H35" t="str">
        <f t="shared" si="1"/>
        <v>-</v>
      </c>
      <c r="I35" s="1">
        <v>-0.06</v>
      </c>
      <c r="J35">
        <v>-2.8</v>
      </c>
      <c r="K35" t="str">
        <f t="shared" si="2"/>
        <v>-</v>
      </c>
      <c r="L35">
        <v>3.0000000000000001E-3</v>
      </c>
      <c r="M35">
        <v>2.2000000000000002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-0.36</v>
      </c>
      <c r="D36">
        <v>-35.6</v>
      </c>
      <c r="E36" t="str">
        <f t="shared" si="0"/>
        <v>-</v>
      </c>
      <c r="F36">
        <v>-2.4E-2</v>
      </c>
      <c r="G36">
        <v>-22.4</v>
      </c>
      <c r="H36" t="str">
        <f t="shared" si="1"/>
        <v>-</v>
      </c>
      <c r="I36" s="1">
        <v>7.0000000000000007E-2</v>
      </c>
      <c r="J36">
        <v>10.8</v>
      </c>
      <c r="K36" t="str">
        <f t="shared" si="2"/>
        <v>-</v>
      </c>
      <c r="L36">
        <v>1E-3</v>
      </c>
      <c r="M36">
        <v>1.2</v>
      </c>
      <c r="N36" s="2" t="str">
        <f t="shared" si="3"/>
        <v>-</v>
      </c>
    </row>
    <row r="37" spans="1:14">
      <c r="A37" s="11" t="s">
        <v>8</v>
      </c>
      <c r="B37" s="13">
        <v>0.6</v>
      </c>
      <c r="C37">
        <v>0.03</v>
      </c>
      <c r="D37">
        <v>2.9</v>
      </c>
      <c r="E37" t="str">
        <f t="shared" si="0"/>
        <v>-</v>
      </c>
      <c r="F37">
        <v>6.0000000000000001E-3</v>
      </c>
      <c r="G37">
        <v>5.7</v>
      </c>
      <c r="H37" t="str">
        <f t="shared" si="1"/>
        <v>-</v>
      </c>
      <c r="I37" s="1">
        <v>0.03</v>
      </c>
      <c r="J37">
        <v>2.9</v>
      </c>
      <c r="K37" t="str">
        <f t="shared" si="2"/>
        <v>-</v>
      </c>
      <c r="L37">
        <v>-2E-3</v>
      </c>
      <c r="M37">
        <v>-1.8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-0.08</v>
      </c>
      <c r="D38">
        <v>-8.6999999999999993</v>
      </c>
      <c r="E38" t="str">
        <f t="shared" si="0"/>
        <v>-</v>
      </c>
      <c r="F38">
        <v>-8.9999999999999993E-3</v>
      </c>
      <c r="G38">
        <v>-10</v>
      </c>
      <c r="H38" t="str">
        <f t="shared" si="1"/>
        <v>-</v>
      </c>
      <c r="I38" s="1">
        <v>-0.02</v>
      </c>
      <c r="J38">
        <v>-2.4</v>
      </c>
      <c r="K38" t="str">
        <f t="shared" si="2"/>
        <v>-</v>
      </c>
      <c r="L38">
        <v>-6.0000000000000001E-3</v>
      </c>
      <c r="M38">
        <v>-7.4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-0.4</v>
      </c>
      <c r="D39">
        <v>-12.8</v>
      </c>
      <c r="E39" t="str">
        <f t="shared" si="0"/>
        <v>-</v>
      </c>
      <c r="F39">
        <v>-3.9E-2</v>
      </c>
      <c r="G39">
        <v>-20.5</v>
      </c>
      <c r="H39" t="str">
        <f t="shared" si="1"/>
        <v>-</v>
      </c>
      <c r="I39" s="1">
        <v>-0.01</v>
      </c>
      <c r="J39">
        <v>-0.4</v>
      </c>
      <c r="K39" t="str">
        <f t="shared" si="2"/>
        <v>-</v>
      </c>
      <c r="L39">
        <v>3.0000000000000001E-3</v>
      </c>
      <c r="M39">
        <v>2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-0.12</v>
      </c>
      <c r="D40">
        <v>-13.6</v>
      </c>
      <c r="E40" t="str">
        <f t="shared" si="0"/>
        <v>-</v>
      </c>
      <c r="F40">
        <v>7.0000000000000001E-3</v>
      </c>
      <c r="G40">
        <v>6.5</v>
      </c>
      <c r="H40" t="str">
        <f t="shared" si="1"/>
        <v>-</v>
      </c>
      <c r="I40" s="1">
        <v>0.06</v>
      </c>
      <c r="J40">
        <v>7.9</v>
      </c>
      <c r="K40" t="str">
        <f t="shared" si="2"/>
        <v>-</v>
      </c>
      <c r="L40">
        <v>-4.4999999999999998E-2</v>
      </c>
      <c r="M40">
        <v>-39.1</v>
      </c>
      <c r="N40" s="2" t="str">
        <f t="shared" si="3"/>
        <v>-</v>
      </c>
    </row>
    <row r="41" spans="1:14">
      <c r="A41" s="11" t="s">
        <v>8</v>
      </c>
      <c r="B41" s="13">
        <v>0.7</v>
      </c>
      <c r="C41">
        <v>0</v>
      </c>
      <c r="D41">
        <v>0</v>
      </c>
      <c r="E41" t="str">
        <f t="shared" si="0"/>
        <v>-</v>
      </c>
      <c r="F41">
        <v>6.0000000000000001E-3</v>
      </c>
      <c r="G41">
        <v>5.2</v>
      </c>
      <c r="H41" t="str">
        <f t="shared" si="1"/>
        <v>-</v>
      </c>
      <c r="I41" s="1">
        <v>0.05</v>
      </c>
      <c r="J41">
        <v>4.2</v>
      </c>
      <c r="K41" t="str">
        <f t="shared" si="2"/>
        <v>-</v>
      </c>
      <c r="L41">
        <v>2E-3</v>
      </c>
      <c r="M41">
        <v>1.7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-0.12</v>
      </c>
      <c r="D42">
        <v>-12.6</v>
      </c>
      <c r="E42" t="str">
        <f t="shared" si="0"/>
        <v>-</v>
      </c>
      <c r="F42">
        <v>-7.0000000000000001E-3</v>
      </c>
      <c r="G42">
        <v>-8</v>
      </c>
      <c r="H42" t="str">
        <f t="shared" si="1"/>
        <v>-</v>
      </c>
      <c r="I42" s="1">
        <v>0.1</v>
      </c>
      <c r="J42">
        <v>12</v>
      </c>
      <c r="K42" t="str">
        <f t="shared" si="2"/>
        <v>-</v>
      </c>
      <c r="L42">
        <v>0.01</v>
      </c>
      <c r="M42">
        <v>12.5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0.52</v>
      </c>
      <c r="D43">
        <v>15.8</v>
      </c>
      <c r="E43" t="str">
        <f t="shared" si="0"/>
        <v>-</v>
      </c>
      <c r="F43">
        <v>4.0000000000000001E-3</v>
      </c>
      <c r="G43">
        <v>1.9</v>
      </c>
      <c r="H43" t="str">
        <f t="shared" si="1"/>
        <v>-</v>
      </c>
      <c r="I43" s="1">
        <v>0.09</v>
      </c>
      <c r="J43">
        <v>2.4</v>
      </c>
      <c r="K43" t="str">
        <f t="shared" si="2"/>
        <v>-</v>
      </c>
      <c r="L43">
        <v>-6.0000000000000001E-3</v>
      </c>
      <c r="M43">
        <v>-2.8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-0.06</v>
      </c>
      <c r="D44">
        <v>-8.1999999999999993</v>
      </c>
      <c r="E44" t="str">
        <f t="shared" si="0"/>
        <v>-</v>
      </c>
      <c r="F44">
        <v>-4.0000000000000001E-3</v>
      </c>
      <c r="G44">
        <v>-5</v>
      </c>
      <c r="H44" t="str">
        <f t="shared" si="1"/>
        <v>-</v>
      </c>
      <c r="I44" s="1">
        <v>0.02</v>
      </c>
      <c r="J44">
        <v>3</v>
      </c>
      <c r="K44" t="str">
        <f t="shared" si="2"/>
        <v>-</v>
      </c>
      <c r="L44">
        <v>-0.02</v>
      </c>
      <c r="M44">
        <v>-26.3</v>
      </c>
      <c r="N44" s="2" t="str">
        <f t="shared" si="3"/>
        <v>-</v>
      </c>
    </row>
    <row r="45" spans="1:14">
      <c r="A45" s="11" t="s">
        <v>8</v>
      </c>
      <c r="B45" s="13">
        <v>0.8</v>
      </c>
      <c r="C45">
        <v>1.1499999999999999</v>
      </c>
      <c r="D45">
        <v>61.2</v>
      </c>
      <c r="E45" t="str">
        <f t="shared" si="0"/>
        <v>?</v>
      </c>
      <c r="F45">
        <v>7.0000000000000001E-3</v>
      </c>
      <c r="G45">
        <v>4.5999999999999996</v>
      </c>
      <c r="H45" t="str">
        <f t="shared" si="1"/>
        <v>-</v>
      </c>
      <c r="I45" s="1">
        <v>0.31</v>
      </c>
      <c r="J45">
        <v>10.199999999999999</v>
      </c>
      <c r="K45" t="str">
        <f t="shared" si="2"/>
        <v>-</v>
      </c>
      <c r="L45">
        <v>-3.0000000000000001E-3</v>
      </c>
      <c r="M45">
        <v>-1.9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2.65</v>
      </c>
      <c r="D46">
        <v>113.7</v>
      </c>
      <c r="E46" t="str">
        <f t="shared" si="0"/>
        <v>?</v>
      </c>
      <c r="F46">
        <v>0.104</v>
      </c>
      <c r="G46">
        <v>82.5</v>
      </c>
      <c r="H46" t="str">
        <f t="shared" si="1"/>
        <v>?</v>
      </c>
      <c r="I46" s="1">
        <v>0.41</v>
      </c>
      <c r="J46">
        <v>8.1999999999999993</v>
      </c>
      <c r="K46" t="str">
        <f t="shared" si="2"/>
        <v>-</v>
      </c>
      <c r="L46">
        <v>1E-3</v>
      </c>
      <c r="M46">
        <v>0.4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2</v>
      </c>
      <c r="D47">
        <v>39.700000000000003</v>
      </c>
      <c r="E47" t="str">
        <f t="shared" si="0"/>
        <v>-</v>
      </c>
      <c r="F47">
        <v>2.9000000000000001E-2</v>
      </c>
      <c r="G47">
        <v>12.6</v>
      </c>
      <c r="H47" t="str">
        <f t="shared" si="1"/>
        <v>-</v>
      </c>
      <c r="I47" s="1">
        <v>0.28000000000000003</v>
      </c>
      <c r="J47">
        <v>4</v>
      </c>
      <c r="K47" t="str">
        <f t="shared" si="2"/>
        <v>-</v>
      </c>
      <c r="L47">
        <v>-2E-3</v>
      </c>
      <c r="M47">
        <v>-0.8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0.96</v>
      </c>
      <c r="D48">
        <v>23.5</v>
      </c>
      <c r="E48" t="str">
        <f t="shared" si="0"/>
        <v>-</v>
      </c>
      <c r="F48">
        <v>5.0000000000000001E-3</v>
      </c>
      <c r="G48">
        <v>6.8</v>
      </c>
      <c r="H48" t="str">
        <f t="shared" si="1"/>
        <v>-</v>
      </c>
      <c r="I48" s="1">
        <v>-0.12</v>
      </c>
      <c r="J48">
        <v>-2.4</v>
      </c>
      <c r="K48" t="str">
        <f t="shared" si="2"/>
        <v>-</v>
      </c>
      <c r="L48">
        <v>2E-3</v>
      </c>
      <c r="M48">
        <v>2.5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-0.48</v>
      </c>
      <c r="D49">
        <v>-5.7</v>
      </c>
      <c r="E49" t="str">
        <f t="shared" si="0"/>
        <v>-</v>
      </c>
      <c r="F49">
        <v>-1.2E-2</v>
      </c>
      <c r="G49">
        <v>-5.2</v>
      </c>
      <c r="H49" t="str">
        <f t="shared" si="1"/>
        <v>-</v>
      </c>
      <c r="I49" s="1">
        <v>0.02</v>
      </c>
      <c r="J49">
        <v>0.3</v>
      </c>
      <c r="K49" t="str">
        <f t="shared" si="2"/>
        <v>-</v>
      </c>
      <c r="L49">
        <v>-5.0000000000000001E-3</v>
      </c>
      <c r="M49">
        <v>-2.2999999999999998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0.3</v>
      </c>
      <c r="D50">
        <v>3.3</v>
      </c>
      <c r="E50" t="str">
        <f t="shared" si="0"/>
        <v>-</v>
      </c>
      <c r="F50">
        <v>-2.5999999999999999E-2</v>
      </c>
      <c r="G50">
        <v>-11</v>
      </c>
      <c r="H50" t="str">
        <f t="shared" si="1"/>
        <v>-</v>
      </c>
      <c r="I50" s="1">
        <v>-0.03</v>
      </c>
      <c r="J50">
        <v>-0.3</v>
      </c>
      <c r="K50" t="str">
        <f t="shared" si="2"/>
        <v>-</v>
      </c>
      <c r="L50">
        <v>6.0000000000000001E-3</v>
      </c>
      <c r="M50">
        <v>2.8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0</v>
      </c>
      <c r="D51">
        <v>0</v>
      </c>
      <c r="E51" t="str">
        <f t="shared" si="0"/>
        <v>-</v>
      </c>
      <c r="F51">
        <v>-4.0000000000000001E-3</v>
      </c>
      <c r="G51">
        <v>-2.9</v>
      </c>
      <c r="H51" t="str">
        <f t="shared" si="1"/>
        <v>-</v>
      </c>
      <c r="I51" s="1">
        <v>-0.02</v>
      </c>
      <c r="J51">
        <v>-0.2</v>
      </c>
      <c r="K51" t="str">
        <f t="shared" si="2"/>
        <v>-</v>
      </c>
      <c r="L51">
        <v>1E-3</v>
      </c>
      <c r="M51">
        <v>0.7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-0.16</v>
      </c>
      <c r="D52">
        <v>-2.2999999999999998</v>
      </c>
      <c r="E52" t="str">
        <f t="shared" si="0"/>
        <v>-</v>
      </c>
      <c r="F52">
        <v>7.2999999999999995E-2</v>
      </c>
      <c r="G52">
        <v>43.5</v>
      </c>
      <c r="H52" t="str">
        <f t="shared" si="1"/>
        <v>-</v>
      </c>
      <c r="I52" s="1">
        <v>0.03</v>
      </c>
      <c r="J52">
        <v>0.4</v>
      </c>
      <c r="K52" t="str">
        <f t="shared" si="2"/>
        <v>-</v>
      </c>
      <c r="L52">
        <v>0.01</v>
      </c>
      <c r="M52">
        <v>4.0999999999999996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6.0833333333333316E-2</v>
      </c>
      <c r="D56">
        <f>AVERAGE(D$5:D$52)</f>
        <v>-0.66874999999999785</v>
      </c>
      <c r="F56">
        <f>AVERAGE(F$5:F$52)</f>
        <v>-4.3541666666666659E-3</v>
      </c>
      <c r="G56">
        <f>AVERAGE(G$5:G$52)</f>
        <v>-2.2729166666666667</v>
      </c>
      <c r="I56" s="1">
        <f>AVERAGE(I$5:I$52)</f>
        <v>2.7916666666666663E-2</v>
      </c>
      <c r="J56">
        <f>AVERAGE(J$5:J$52)</f>
        <v>2.4354166666666672</v>
      </c>
      <c r="L56">
        <f>AVERAGE(L$5:L$52)</f>
        <v>-1.4999999999999998E-3</v>
      </c>
      <c r="M56">
        <f>AVERAGE(M$5:M$52)</f>
        <v>-0.95624999999999982</v>
      </c>
    </row>
    <row r="57" spans="1:15">
      <c r="B57" s="4" t="s">
        <v>19</v>
      </c>
      <c r="C57">
        <f>MEDIAN(C$5:C$52)</f>
        <v>-7.0000000000000007E-2</v>
      </c>
      <c r="D57">
        <f>MEDIAN(D$5:D$52)</f>
        <v>-5.25</v>
      </c>
      <c r="F57">
        <f>MEDIAN(F$5:F$52)</f>
        <v>-7.0000000000000001E-3</v>
      </c>
      <c r="G57">
        <f>MEDIAN(G$5:G$52)</f>
        <v>-5.65</v>
      </c>
      <c r="I57" s="1">
        <f>MEDIAN(I$5:I$52)</f>
        <v>0.02</v>
      </c>
      <c r="J57">
        <f>MEDIAN(J$5:J$52)</f>
        <v>0.35</v>
      </c>
      <c r="L57">
        <f>MEDIAN(L$5:L$52)</f>
        <v>0</v>
      </c>
      <c r="M57">
        <f>MEDIAN(M$5:M$52)</f>
        <v>-0.19999999999999996</v>
      </c>
    </row>
    <row r="58" spans="1:15">
      <c r="B58" s="4" t="s">
        <v>20</v>
      </c>
      <c r="C58">
        <f>STDEV(C$5:C$52)</f>
        <v>0.59601454120963648</v>
      </c>
      <c r="D58">
        <f>STDEV(D$5:D$52)</f>
        <v>23.983941047948925</v>
      </c>
      <c r="F58">
        <f>STDEV(F$5:F$52)</f>
        <v>2.5549692577018255E-2</v>
      </c>
      <c r="G58">
        <f>STDEV(G$5:G$52)</f>
        <v>19.8393413109529</v>
      </c>
      <c r="I58" s="1">
        <f>STDEV(I$5:I$52)</f>
        <v>0.14654834847147308</v>
      </c>
      <c r="J58">
        <f>STDEV(J$5:J$52)</f>
        <v>10.504598579291677</v>
      </c>
      <c r="L58">
        <f>STDEV(L$5:L$52)</f>
        <v>1.2505318017683687E-2</v>
      </c>
      <c r="M58">
        <f>STDEV(M$5:M$52)</f>
        <v>11.952991368673137</v>
      </c>
    </row>
    <row r="59" spans="1:15">
      <c r="B59" s="4" t="s">
        <v>21</v>
      </c>
      <c r="C59">
        <f>COUNTIF(C$5:C$52, "&lt;0")</f>
        <v>32</v>
      </c>
      <c r="D59">
        <f>COUNTIF(D$5:D$52, "&lt;0")</f>
        <v>32</v>
      </c>
      <c r="F59">
        <f>COUNTIF(F$5:F$52, "&lt;0")</f>
        <v>31</v>
      </c>
      <c r="G59">
        <f>COUNTIF(G$5:G$52, "&lt;0")</f>
        <v>31</v>
      </c>
      <c r="I59" s="1">
        <f>COUNTIF(I$5:I$52, "&lt;0")</f>
        <v>21</v>
      </c>
      <c r="J59">
        <f>COUNTIF(J$5:J$52, "&lt;0")</f>
        <v>21</v>
      </c>
      <c r="L59">
        <f>COUNTIF(L$5:L$52, "&lt;0")</f>
        <v>24</v>
      </c>
      <c r="M59">
        <f>COUNTIF(M$5:M$52, "&lt;0")</f>
        <v>24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-8.0833333333333354E-2</v>
      </c>
      <c r="D63">
        <f>AVERAGE(D$5:D$28)</f>
        <v>-4.9499999999999966</v>
      </c>
      <c r="F63">
        <f>AVERAGE(F$5:F$28)</f>
        <v>-8.5833333333333317E-3</v>
      </c>
      <c r="G63">
        <f>AVERAGE(G$5:G$28)</f>
        <v>-4.0958333333333323</v>
      </c>
      <c r="I63" s="1">
        <f>AVERAGE(I$5:I$28)</f>
        <v>2.9166666666666671E-2</v>
      </c>
      <c r="J63">
        <f>AVERAGE(J$5:J$28)</f>
        <v>4.0166666666666675</v>
      </c>
      <c r="L63">
        <f>AVERAGE(L$5:L$28)</f>
        <v>1.2500000000000003E-4</v>
      </c>
      <c r="M63">
        <f>AVERAGE(M$5:M$28)</f>
        <v>1.2458333333333336</v>
      </c>
    </row>
    <row r="64" spans="1:15">
      <c r="B64" s="4" t="s">
        <v>19</v>
      </c>
      <c r="C64">
        <f>MEDIAN(C$5:C$28)</f>
        <v>-8.5000000000000006E-2</v>
      </c>
      <c r="D64">
        <f>MEDIAN(D$5:D$28)</f>
        <v>-6.15</v>
      </c>
      <c r="F64">
        <f>MEDIAN(F$5:F$28)</f>
        <v>-1.0500000000000001E-2</v>
      </c>
      <c r="G64">
        <f>MEDIAN(G$5:G$28)</f>
        <v>-7.4</v>
      </c>
      <c r="I64" s="1">
        <f>MEDIAN(I$5:I$28)</f>
        <v>0.01</v>
      </c>
      <c r="J64">
        <f>MEDIAN(J$5:J$28)</f>
        <v>1.35</v>
      </c>
      <c r="L64">
        <f>MEDIAN(L$5:L$28)</f>
        <v>0</v>
      </c>
      <c r="M64">
        <f>MEDIAN(M$5:M$28)</f>
        <v>-4.9999999999999933E-2</v>
      </c>
    </row>
    <row r="65" spans="2:13">
      <c r="B65" s="4" t="s">
        <v>20</v>
      </c>
      <c r="C65">
        <f>STDEV(C$5:C$28)</f>
        <v>0.31636408121665449</v>
      </c>
      <c r="D65">
        <f>STDEV(D$5:D$28)</f>
        <v>13.627944436532513</v>
      </c>
      <c r="F65">
        <f>STDEV(F$5:F$28)</f>
        <v>1.6457895334476391E-2</v>
      </c>
      <c r="G65">
        <f>STDEV(G$5:G$28)</f>
        <v>16.038255330863485</v>
      </c>
      <c r="I65" s="1">
        <f>STDEV(I$5:I$28)</f>
        <v>0.13321824743358307</v>
      </c>
      <c r="J65">
        <f>STDEV(J$5:J$28)</f>
        <v>12.010852580485073</v>
      </c>
      <c r="L65">
        <f>STDEV(L$5:L$28)</f>
        <v>1.3430376018563292E-2</v>
      </c>
      <c r="M65">
        <f>STDEV(M$5:M$28)</f>
        <v>12.820024390082839</v>
      </c>
    </row>
    <row r="66" spans="2:13">
      <c r="B66" s="4" t="s">
        <v>21</v>
      </c>
      <c r="C66">
        <f>COUNTIF(C$5:C$28, "&lt;0")</f>
        <v>17</v>
      </c>
      <c r="D66">
        <f>COUNTIF(D$5:D$28, "&lt;0")</f>
        <v>17</v>
      </c>
      <c r="F66">
        <f>COUNTIF(F$5:F$28, "&lt;0")</f>
        <v>17</v>
      </c>
      <c r="G66">
        <f>COUNTIF(G$5:G$28, "&lt;0")</f>
        <v>17</v>
      </c>
      <c r="I66" s="1">
        <f>COUNTIF(I$5:I$28, "&lt;0")</f>
        <v>10</v>
      </c>
      <c r="J66">
        <f>COUNTIF(J$5:J$28, "&lt;0")</f>
        <v>10</v>
      </c>
      <c r="L66">
        <f>COUNTIF(L$5:L$28, "&lt;0")</f>
        <v>12</v>
      </c>
      <c r="M66">
        <f>COUNTIF(M$5:M$28, "&lt;0")</f>
        <v>12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0.20249999999999993</v>
      </c>
      <c r="D70">
        <f>AVERAGE(D$29:D$52)</f>
        <v>3.612500000000002</v>
      </c>
      <c r="F70">
        <f>AVERAGE(F$29:F$52)</f>
        <v>-1.2500000000000128E-4</v>
      </c>
      <c r="G70">
        <f>AVERAGE(G$29:G$52)</f>
        <v>-0.45000000000000107</v>
      </c>
      <c r="I70" s="1">
        <f>AVERAGE(I$29:I$52)</f>
        <v>2.6666666666666668E-2</v>
      </c>
      <c r="J70">
        <f>AVERAGE(J$29:J$52)</f>
        <v>0.85416666666666685</v>
      </c>
      <c r="L70">
        <f>AVERAGE(L$29:L$52)</f>
        <v>-3.1249999999999997E-3</v>
      </c>
      <c r="M70">
        <f>AVERAGE(M$29:M$52)</f>
        <v>-3.1583333333333332</v>
      </c>
    </row>
    <row r="71" spans="2:13">
      <c r="B71" s="4" t="s">
        <v>19</v>
      </c>
      <c r="C71">
        <f>MEDIAN(C$29:C$52)</f>
        <v>-6.5000000000000002E-2</v>
      </c>
      <c r="D71">
        <f>MEDIAN(D$29:D$52)</f>
        <v>-4.25</v>
      </c>
      <c r="F71">
        <f>MEDIAN(F$29:F$52)</f>
        <v>-5.4999999999999997E-3</v>
      </c>
      <c r="G71">
        <f>MEDIAN(G$29:G$52)</f>
        <v>-4.95</v>
      </c>
      <c r="I71" s="1">
        <f>MEDIAN(I$29:I$52)</f>
        <v>0.02</v>
      </c>
      <c r="J71">
        <f>MEDIAN(J$29:J$52)</f>
        <v>0.35</v>
      </c>
      <c r="L71">
        <f>MEDIAN(L$29:L$52)</f>
        <v>-5.0000000000000001E-4</v>
      </c>
      <c r="M71">
        <f>MEDIAN(M$29:M$52)</f>
        <v>-0.19999999999999996</v>
      </c>
    </row>
    <row r="72" spans="2:13">
      <c r="B72" s="4" t="s">
        <v>20</v>
      </c>
      <c r="C72">
        <f>STDEV(C$29:C$52)</f>
        <v>0.76416052263109358</v>
      </c>
      <c r="D72">
        <f>STDEV(D$29:D$52)</f>
        <v>30.846327559582249</v>
      </c>
      <c r="F72">
        <f>STDEV(F$29:F$52)</f>
        <v>3.2027586614476994E-2</v>
      </c>
      <c r="G72">
        <f>STDEV(G$29:G$52)</f>
        <v>23.241155400449138</v>
      </c>
      <c r="I72" s="1">
        <f>STDEV(I$29:I$52)</f>
        <v>0.16166704019081307</v>
      </c>
      <c r="J72">
        <f>STDEV(J$29:J$52)</f>
        <v>8.7184950419841076</v>
      </c>
      <c r="L72">
        <f>STDEV(L$29:L$52)</f>
        <v>1.1561978542883003E-2</v>
      </c>
      <c r="M72">
        <f>STDEV(M$29:M$52)</f>
        <v>10.839136684163137</v>
      </c>
    </row>
    <row r="73" spans="2:13">
      <c r="B73" s="4" t="s">
        <v>21</v>
      </c>
      <c r="C73">
        <f>COUNTIF(C$29:C$52, "&lt;0")</f>
        <v>15</v>
      </c>
      <c r="D73">
        <f>COUNTIF(D$29:D$52, "&lt;0")</f>
        <v>15</v>
      </c>
      <c r="F73">
        <f>COUNTIF(F$29:F$52, "&lt;0")</f>
        <v>14</v>
      </c>
      <c r="G73">
        <f>COUNTIF(G$29:G$52, "&lt;0")</f>
        <v>14</v>
      </c>
      <c r="I73" s="1">
        <f>COUNTIF(I$29:I$52, "&lt;0")</f>
        <v>11</v>
      </c>
      <c r="J73">
        <f>COUNTIF(J$29:J$52, "&lt;0")</f>
        <v>11</v>
      </c>
      <c r="L73">
        <f>COUNTIF(L$29:L$52, "&lt;0")</f>
        <v>12</v>
      </c>
      <c r="M73">
        <f>COUNTIF(M$29:M$52, "&lt;0")</f>
        <v>12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A180-BEA3-4B07-ABF2-AF6201A5BD06}">
  <dimension ref="A1:O73"/>
  <sheetViews>
    <sheetView workbookViewId="0"/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27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-0.15</v>
      </c>
      <c r="D5">
        <v>-8.9</v>
      </c>
      <c r="E5" t="str">
        <f>IF(ABS(D5)&gt;50,"?","-")</f>
        <v>-</v>
      </c>
      <c r="F5">
        <v>-2.1999999999999999E-2</v>
      </c>
      <c r="G5">
        <v>-17.100000000000001</v>
      </c>
      <c r="H5" t="str">
        <f>IF(ABS(G5)&gt;50,"?","-")</f>
        <v>-</v>
      </c>
      <c r="I5" s="1">
        <v>0.09</v>
      </c>
      <c r="J5">
        <v>5.9</v>
      </c>
      <c r="K5" t="str">
        <f>IF(ABS(J5)&gt;50,"?","-")</f>
        <v>-</v>
      </c>
      <c r="L5">
        <v>2E-3</v>
      </c>
      <c r="M5">
        <v>1.9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-0.1</v>
      </c>
      <c r="D6">
        <v>-7.2</v>
      </c>
      <c r="E6" t="str">
        <f t="shared" ref="E6:E52" si="0">IF(ABS(D6)&gt;50,"?","-")</f>
        <v>-</v>
      </c>
      <c r="F6">
        <v>-0.01</v>
      </c>
      <c r="G6">
        <v>-13.2</v>
      </c>
      <c r="H6" t="str">
        <f t="shared" ref="H6:H52" si="1">IF(ABS(G6)&gt;50,"?","-")</f>
        <v>-</v>
      </c>
      <c r="I6" s="1">
        <v>0.09</v>
      </c>
      <c r="J6">
        <v>7</v>
      </c>
      <c r="K6" t="str">
        <f t="shared" ref="K6:K52" si="2">IF(ABS(J6)&gt;50,"?","-")</f>
        <v>-</v>
      </c>
      <c r="L6">
        <v>1.4E-2</v>
      </c>
      <c r="M6">
        <v>21.2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-0.72</v>
      </c>
      <c r="D7">
        <v>-21.6</v>
      </c>
      <c r="E7" t="str">
        <f t="shared" si="0"/>
        <v>-</v>
      </c>
      <c r="F7">
        <v>-7.1999999999999995E-2</v>
      </c>
      <c r="G7">
        <v>-32.4</v>
      </c>
      <c r="H7" t="str">
        <f t="shared" si="1"/>
        <v>-</v>
      </c>
      <c r="I7" s="1">
        <v>0.25</v>
      </c>
      <c r="J7">
        <v>9.5</v>
      </c>
      <c r="K7" t="str">
        <f t="shared" si="2"/>
        <v>-</v>
      </c>
      <c r="L7">
        <v>-0.01</v>
      </c>
      <c r="M7">
        <v>-6.7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0.28000000000000003</v>
      </c>
      <c r="D8">
        <v>21.5</v>
      </c>
      <c r="E8" t="str">
        <f t="shared" si="0"/>
        <v>-</v>
      </c>
      <c r="F8">
        <v>-1E-3</v>
      </c>
      <c r="G8">
        <v>-0.6</v>
      </c>
      <c r="H8" t="str">
        <f t="shared" si="1"/>
        <v>-</v>
      </c>
      <c r="I8" s="1">
        <v>-0.11</v>
      </c>
      <c r="J8">
        <v>-7</v>
      </c>
      <c r="K8" t="str">
        <f t="shared" si="2"/>
        <v>-</v>
      </c>
      <c r="L8">
        <v>-6.6000000000000003E-2</v>
      </c>
      <c r="M8">
        <v>-42.9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-0.11</v>
      </c>
      <c r="D9">
        <v>-8.1</v>
      </c>
      <c r="E9" t="str">
        <f t="shared" si="0"/>
        <v>-</v>
      </c>
      <c r="F9">
        <v>-4.0000000000000001E-3</v>
      </c>
      <c r="G9">
        <v>-3.5</v>
      </c>
      <c r="H9" t="str">
        <f t="shared" si="1"/>
        <v>-</v>
      </c>
      <c r="I9" s="1">
        <v>-0.12</v>
      </c>
      <c r="J9">
        <v>-9.6999999999999993</v>
      </c>
      <c r="K9" t="str">
        <f t="shared" si="2"/>
        <v>-</v>
      </c>
      <c r="L9">
        <v>-1.2999999999999999E-2</v>
      </c>
      <c r="M9">
        <v>-11.9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-0.08</v>
      </c>
      <c r="D10">
        <v>-7.5</v>
      </c>
      <c r="E10" t="str">
        <f t="shared" si="0"/>
        <v>-</v>
      </c>
      <c r="F10">
        <v>-2.5000000000000001E-2</v>
      </c>
      <c r="G10">
        <v>-28.4</v>
      </c>
      <c r="H10" t="str">
        <f t="shared" si="1"/>
        <v>-</v>
      </c>
      <c r="I10" s="1">
        <v>0.03</v>
      </c>
      <c r="J10">
        <v>3.1</v>
      </c>
      <c r="K10" t="str">
        <f t="shared" si="2"/>
        <v>-</v>
      </c>
      <c r="L10">
        <v>1.4E-2</v>
      </c>
      <c r="M10">
        <v>22.2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-0.37</v>
      </c>
      <c r="D11">
        <v>-10.5</v>
      </c>
      <c r="E11" t="str">
        <f t="shared" si="0"/>
        <v>-</v>
      </c>
      <c r="F11">
        <v>-6.5000000000000002E-2</v>
      </c>
      <c r="G11">
        <v>-28.9</v>
      </c>
      <c r="H11" t="str">
        <f t="shared" si="1"/>
        <v>-</v>
      </c>
      <c r="I11" s="1">
        <v>-0.05</v>
      </c>
      <c r="J11">
        <v>-1.6</v>
      </c>
      <c r="K11" t="str">
        <f t="shared" si="2"/>
        <v>-</v>
      </c>
      <c r="L11">
        <v>0</v>
      </c>
      <c r="M11">
        <v>0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0.14000000000000001</v>
      </c>
      <c r="D12">
        <v>15.1</v>
      </c>
      <c r="E12" t="str">
        <f t="shared" si="0"/>
        <v>-</v>
      </c>
      <c r="F12">
        <v>0.04</v>
      </c>
      <c r="G12">
        <v>44.9</v>
      </c>
      <c r="H12" t="str">
        <f t="shared" si="1"/>
        <v>-</v>
      </c>
      <c r="I12" s="1">
        <v>-0.18</v>
      </c>
      <c r="J12">
        <v>-16.8</v>
      </c>
      <c r="K12" t="str">
        <f t="shared" si="2"/>
        <v>-</v>
      </c>
      <c r="L12">
        <v>-4.1000000000000002E-2</v>
      </c>
      <c r="M12">
        <v>-31.8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-0.06</v>
      </c>
      <c r="D13">
        <v>-5.2</v>
      </c>
      <c r="E13" t="str">
        <f t="shared" si="0"/>
        <v>-</v>
      </c>
      <c r="F13">
        <v>-1.4999999999999999E-2</v>
      </c>
      <c r="G13">
        <v>-12.9</v>
      </c>
      <c r="H13" t="str">
        <f t="shared" si="1"/>
        <v>-</v>
      </c>
      <c r="I13" s="1">
        <v>0.01</v>
      </c>
      <c r="J13">
        <v>0.9</v>
      </c>
      <c r="K13" t="str">
        <f t="shared" si="2"/>
        <v>-</v>
      </c>
      <c r="L13">
        <v>-3.0000000000000001E-3</v>
      </c>
      <c r="M13">
        <v>-3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-0.13</v>
      </c>
      <c r="D14">
        <v>-12.4</v>
      </c>
      <c r="E14" t="str">
        <f t="shared" si="0"/>
        <v>-</v>
      </c>
      <c r="F14">
        <v>-2E-3</v>
      </c>
      <c r="G14">
        <v>-2.6</v>
      </c>
      <c r="H14" t="str">
        <f t="shared" si="1"/>
        <v>-</v>
      </c>
      <c r="I14" s="1">
        <v>0.06</v>
      </c>
      <c r="J14">
        <v>6.5</v>
      </c>
      <c r="K14" t="str">
        <f t="shared" si="2"/>
        <v>-</v>
      </c>
      <c r="L14">
        <v>4.0000000000000001E-3</v>
      </c>
      <c r="M14">
        <v>5.3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-0.41</v>
      </c>
      <c r="D15">
        <v>-11.9</v>
      </c>
      <c r="E15" t="str">
        <f t="shared" si="0"/>
        <v>-</v>
      </c>
      <c r="F15">
        <v>-0.06</v>
      </c>
      <c r="G15">
        <v>-27.1</v>
      </c>
      <c r="H15" t="str">
        <f t="shared" si="1"/>
        <v>-</v>
      </c>
      <c r="I15" s="1">
        <v>-0.22</v>
      </c>
      <c r="J15">
        <v>-7.3</v>
      </c>
      <c r="K15" t="str">
        <f t="shared" si="2"/>
        <v>-</v>
      </c>
      <c r="L15">
        <v>-7.0000000000000001E-3</v>
      </c>
      <c r="M15">
        <v>-4.3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-0.03</v>
      </c>
      <c r="D16">
        <v>-2.7</v>
      </c>
      <c r="E16" t="str">
        <f t="shared" si="0"/>
        <v>-</v>
      </c>
      <c r="F16">
        <v>-0.01</v>
      </c>
      <c r="G16">
        <v>-8.9</v>
      </c>
      <c r="H16" t="str">
        <f t="shared" si="1"/>
        <v>-</v>
      </c>
      <c r="I16" s="1">
        <v>-0.03</v>
      </c>
      <c r="J16">
        <v>-2.8</v>
      </c>
      <c r="K16" t="str">
        <f t="shared" si="2"/>
        <v>-</v>
      </c>
      <c r="L16">
        <v>0.04</v>
      </c>
      <c r="M16">
        <v>39.200000000000003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-0.13</v>
      </c>
      <c r="D17">
        <v>-10.8</v>
      </c>
      <c r="E17" t="str">
        <f t="shared" si="0"/>
        <v>-</v>
      </c>
      <c r="F17">
        <v>-1.7000000000000001E-2</v>
      </c>
      <c r="G17">
        <v>-16.3</v>
      </c>
      <c r="H17" t="str">
        <f t="shared" si="1"/>
        <v>-</v>
      </c>
      <c r="I17" s="1">
        <v>-0.01</v>
      </c>
      <c r="J17">
        <v>-0.9</v>
      </c>
      <c r="K17" t="str">
        <f t="shared" si="2"/>
        <v>-</v>
      </c>
      <c r="L17">
        <v>4.0000000000000001E-3</v>
      </c>
      <c r="M17">
        <v>4.5999999999999996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-0.09</v>
      </c>
      <c r="D18">
        <v>-9.3000000000000007</v>
      </c>
      <c r="E18" t="str">
        <f t="shared" si="0"/>
        <v>-</v>
      </c>
      <c r="F18">
        <v>-8.0000000000000002E-3</v>
      </c>
      <c r="G18">
        <v>-8.6</v>
      </c>
      <c r="H18" t="str">
        <f t="shared" si="1"/>
        <v>-</v>
      </c>
      <c r="I18" s="1">
        <v>0.04</v>
      </c>
      <c r="J18">
        <v>4.5</v>
      </c>
      <c r="K18" t="str">
        <f t="shared" si="2"/>
        <v>-</v>
      </c>
      <c r="L18">
        <v>-6.0000000000000001E-3</v>
      </c>
      <c r="M18">
        <v>-7.1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-0.97</v>
      </c>
      <c r="D19">
        <v>-27.3</v>
      </c>
      <c r="E19" t="str">
        <f t="shared" si="0"/>
        <v>-</v>
      </c>
      <c r="F19">
        <v>-6.9000000000000006E-2</v>
      </c>
      <c r="G19">
        <v>-31.5</v>
      </c>
      <c r="H19" t="str">
        <f t="shared" si="1"/>
        <v>-</v>
      </c>
      <c r="I19" s="1">
        <v>0.24</v>
      </c>
      <c r="J19">
        <v>9.3000000000000007</v>
      </c>
      <c r="K19" t="str">
        <f t="shared" si="2"/>
        <v>-</v>
      </c>
      <c r="L19">
        <v>5.0000000000000001E-3</v>
      </c>
      <c r="M19">
        <v>3.3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0.28999999999999998</v>
      </c>
      <c r="D20">
        <v>50</v>
      </c>
      <c r="E20" t="str">
        <f t="shared" si="0"/>
        <v>-</v>
      </c>
      <c r="F20">
        <v>4.2999999999999997E-2</v>
      </c>
      <c r="G20">
        <v>60.6</v>
      </c>
      <c r="H20" t="str">
        <f t="shared" si="1"/>
        <v>?</v>
      </c>
      <c r="I20" s="1">
        <v>-0.32</v>
      </c>
      <c r="J20">
        <v>-36.799999999999997</v>
      </c>
      <c r="K20" t="str">
        <f t="shared" si="2"/>
        <v>-</v>
      </c>
      <c r="L20">
        <v>-5.8000000000000003E-2</v>
      </c>
      <c r="M20">
        <v>-50.9</v>
      </c>
      <c r="N20" s="2" t="str">
        <f t="shared" si="3"/>
        <v>?</v>
      </c>
    </row>
    <row r="21" spans="1:14">
      <c r="A21" s="11" t="s">
        <v>8</v>
      </c>
      <c r="B21" s="12" t="s">
        <v>16</v>
      </c>
      <c r="C21">
        <v>-0.15</v>
      </c>
      <c r="D21">
        <v>-12</v>
      </c>
      <c r="E21" t="str">
        <f t="shared" si="0"/>
        <v>-</v>
      </c>
      <c r="F21">
        <v>-1.4E-2</v>
      </c>
      <c r="G21">
        <v>-13.3</v>
      </c>
      <c r="H21" t="str">
        <f t="shared" si="1"/>
        <v>-</v>
      </c>
      <c r="I21" s="1">
        <v>0.02</v>
      </c>
      <c r="J21">
        <v>1.8</v>
      </c>
      <c r="K21" t="str">
        <f t="shared" si="2"/>
        <v>-</v>
      </c>
      <c r="L21">
        <v>0</v>
      </c>
      <c r="M21">
        <v>0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-0.08</v>
      </c>
      <c r="D22">
        <v>-8.1</v>
      </c>
      <c r="E22" t="str">
        <f t="shared" si="0"/>
        <v>-</v>
      </c>
      <c r="F22">
        <v>1E-3</v>
      </c>
      <c r="G22">
        <v>1.3</v>
      </c>
      <c r="H22" t="str">
        <f t="shared" si="1"/>
        <v>-</v>
      </c>
      <c r="I22" s="1">
        <v>0</v>
      </c>
      <c r="J22">
        <v>0</v>
      </c>
      <c r="K22" t="str">
        <f t="shared" si="2"/>
        <v>-</v>
      </c>
      <c r="L22">
        <v>0</v>
      </c>
      <c r="M22">
        <v>0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-0.39</v>
      </c>
      <c r="D23">
        <v>-10.9</v>
      </c>
      <c r="E23" t="str">
        <f t="shared" si="0"/>
        <v>-</v>
      </c>
      <c r="F23">
        <v>-5.5E-2</v>
      </c>
      <c r="G23">
        <v>-25</v>
      </c>
      <c r="H23" t="str">
        <f t="shared" si="1"/>
        <v>-</v>
      </c>
      <c r="I23" s="1">
        <v>-0.12</v>
      </c>
      <c r="J23">
        <v>-3.8</v>
      </c>
      <c r="K23" t="str">
        <f t="shared" si="2"/>
        <v>-</v>
      </c>
      <c r="L23">
        <v>1E-3</v>
      </c>
      <c r="M23">
        <v>0.6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-0.03</v>
      </c>
      <c r="D24">
        <v>-3.6</v>
      </c>
      <c r="E24" t="str">
        <f t="shared" si="0"/>
        <v>-</v>
      </c>
      <c r="F24">
        <v>-7.0000000000000001E-3</v>
      </c>
      <c r="G24">
        <v>-8</v>
      </c>
      <c r="H24" t="str">
        <f t="shared" si="1"/>
        <v>-</v>
      </c>
      <c r="I24" s="1">
        <v>0.05</v>
      </c>
      <c r="J24">
        <v>6.2</v>
      </c>
      <c r="K24" t="str">
        <f t="shared" si="2"/>
        <v>-</v>
      </c>
      <c r="L24">
        <v>5.0000000000000001E-3</v>
      </c>
      <c r="M24">
        <v>6.2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-0.14000000000000001</v>
      </c>
      <c r="D25">
        <v>-10.199999999999999</v>
      </c>
      <c r="E25" t="str">
        <f t="shared" si="0"/>
        <v>-</v>
      </c>
      <c r="F25">
        <v>-1.7999999999999999E-2</v>
      </c>
      <c r="G25">
        <v>-14.3</v>
      </c>
      <c r="H25" t="str">
        <f t="shared" si="1"/>
        <v>-</v>
      </c>
      <c r="I25" s="1">
        <v>-0.14000000000000001</v>
      </c>
      <c r="J25">
        <v>-11.4</v>
      </c>
      <c r="K25" t="str">
        <f t="shared" si="2"/>
        <v>-</v>
      </c>
      <c r="L25">
        <v>-1.7000000000000001E-2</v>
      </c>
      <c r="M25">
        <v>-15.7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-0.06</v>
      </c>
      <c r="D26">
        <v>-4.5</v>
      </c>
      <c r="E26" t="str">
        <f t="shared" si="0"/>
        <v>-</v>
      </c>
      <c r="F26">
        <v>-1.0999999999999999E-2</v>
      </c>
      <c r="G26">
        <v>-8.9</v>
      </c>
      <c r="H26" t="str">
        <f t="shared" si="1"/>
        <v>-</v>
      </c>
      <c r="I26" s="1">
        <v>0.09</v>
      </c>
      <c r="J26">
        <v>7.1</v>
      </c>
      <c r="K26" t="str">
        <f t="shared" si="2"/>
        <v>-</v>
      </c>
      <c r="L26">
        <v>0.01</v>
      </c>
      <c r="M26">
        <v>8.8000000000000007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-1.32</v>
      </c>
      <c r="D27">
        <v>-32.700000000000003</v>
      </c>
      <c r="E27" t="str">
        <f t="shared" si="0"/>
        <v>-</v>
      </c>
      <c r="F27">
        <v>-7.4999999999999997E-2</v>
      </c>
      <c r="G27">
        <v>-34.1</v>
      </c>
      <c r="H27" t="str">
        <f t="shared" si="1"/>
        <v>-</v>
      </c>
      <c r="I27" s="1">
        <v>0.31</v>
      </c>
      <c r="J27">
        <v>11.4</v>
      </c>
      <c r="K27" t="str">
        <f t="shared" si="2"/>
        <v>-</v>
      </c>
      <c r="L27">
        <v>1.0999999999999999E-2</v>
      </c>
      <c r="M27">
        <v>7.6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-7.0000000000000007E-2</v>
      </c>
      <c r="D28">
        <v>-8.1</v>
      </c>
      <c r="E28" t="str">
        <f t="shared" si="0"/>
        <v>-</v>
      </c>
      <c r="F28">
        <v>-6.0000000000000001E-3</v>
      </c>
      <c r="G28">
        <v>-7.1</v>
      </c>
      <c r="H28" t="str">
        <f t="shared" si="1"/>
        <v>-</v>
      </c>
      <c r="I28" s="1">
        <v>0.09</v>
      </c>
      <c r="J28">
        <v>11.4</v>
      </c>
      <c r="K28" t="str">
        <f t="shared" si="2"/>
        <v>-</v>
      </c>
      <c r="L28">
        <v>-0.01</v>
      </c>
      <c r="M28">
        <v>-12.7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-0.08</v>
      </c>
      <c r="D29">
        <v>-7.3</v>
      </c>
      <c r="E29" t="str">
        <f t="shared" si="0"/>
        <v>-</v>
      </c>
      <c r="F29">
        <v>-1.6E-2</v>
      </c>
      <c r="G29">
        <v>-15.8</v>
      </c>
      <c r="H29" t="str">
        <f t="shared" si="1"/>
        <v>-</v>
      </c>
      <c r="I29" s="1">
        <v>0</v>
      </c>
      <c r="J29">
        <v>0</v>
      </c>
      <c r="K29" t="str">
        <f t="shared" si="2"/>
        <v>-</v>
      </c>
      <c r="L29">
        <v>5.0000000000000001E-3</v>
      </c>
      <c r="M29">
        <v>5.9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-0.04</v>
      </c>
      <c r="D30">
        <v>-3.7</v>
      </c>
      <c r="E30" t="str">
        <f t="shared" si="0"/>
        <v>-</v>
      </c>
      <c r="F30">
        <v>-0.02</v>
      </c>
      <c r="G30">
        <v>-18.5</v>
      </c>
      <c r="H30" t="str">
        <f t="shared" si="1"/>
        <v>-</v>
      </c>
      <c r="I30" s="1">
        <v>-0.15</v>
      </c>
      <c r="J30">
        <v>-14.4</v>
      </c>
      <c r="K30" t="str">
        <f t="shared" si="2"/>
        <v>-</v>
      </c>
      <c r="L30">
        <v>-1E-3</v>
      </c>
      <c r="M30">
        <v>-1.1000000000000001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-0.52</v>
      </c>
      <c r="D31">
        <v>-18.5</v>
      </c>
      <c r="E31" t="str">
        <f t="shared" si="0"/>
        <v>-</v>
      </c>
      <c r="F31">
        <v>-4.2000000000000003E-2</v>
      </c>
      <c r="G31">
        <v>-23.7</v>
      </c>
      <c r="H31" t="str">
        <f t="shared" si="1"/>
        <v>-</v>
      </c>
      <c r="I31" s="1">
        <v>-0.15</v>
      </c>
      <c r="J31">
        <v>-6.6</v>
      </c>
      <c r="K31" t="str">
        <f t="shared" si="2"/>
        <v>-</v>
      </c>
      <c r="L31">
        <v>-1E-3</v>
      </c>
      <c r="M31">
        <v>-0.7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0.1</v>
      </c>
      <c r="D32">
        <v>15.2</v>
      </c>
      <c r="E32" t="str">
        <f t="shared" si="0"/>
        <v>-</v>
      </c>
      <c r="F32">
        <v>8.0000000000000002E-3</v>
      </c>
      <c r="G32">
        <v>12.3</v>
      </c>
      <c r="H32" t="str">
        <f t="shared" si="1"/>
        <v>-</v>
      </c>
      <c r="I32" s="1">
        <v>-0.1</v>
      </c>
      <c r="J32">
        <v>-13.2</v>
      </c>
      <c r="K32" t="str">
        <f t="shared" si="2"/>
        <v>-</v>
      </c>
      <c r="L32">
        <v>3.0000000000000001E-3</v>
      </c>
      <c r="M32">
        <v>4.0999999999999996</v>
      </c>
      <c r="N32" s="2" t="str">
        <f t="shared" si="3"/>
        <v>-</v>
      </c>
    </row>
    <row r="33" spans="1:14">
      <c r="A33" s="11" t="s">
        <v>8</v>
      </c>
      <c r="B33" s="13">
        <v>0.5</v>
      </c>
      <c r="C33">
        <v>-0.13</v>
      </c>
      <c r="D33">
        <v>-11.7</v>
      </c>
      <c r="E33" t="str">
        <f t="shared" si="0"/>
        <v>-</v>
      </c>
      <c r="F33">
        <v>-2.3E-2</v>
      </c>
      <c r="G33">
        <v>-21.3</v>
      </c>
      <c r="H33" t="str">
        <f t="shared" si="1"/>
        <v>-</v>
      </c>
      <c r="I33" s="1">
        <v>-0.03</v>
      </c>
      <c r="J33">
        <v>-3.1</v>
      </c>
      <c r="K33" t="str">
        <f t="shared" si="2"/>
        <v>-</v>
      </c>
      <c r="L33">
        <v>-7.0000000000000001E-3</v>
      </c>
      <c r="M33">
        <v>-8.1999999999999993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-0.04</v>
      </c>
      <c r="D34">
        <v>-4.5</v>
      </c>
      <c r="E34" t="str">
        <f t="shared" si="0"/>
        <v>-</v>
      </c>
      <c r="F34">
        <v>-1.9E-2</v>
      </c>
      <c r="G34">
        <v>-22.1</v>
      </c>
      <c r="H34" t="str">
        <f t="shared" si="1"/>
        <v>-</v>
      </c>
      <c r="I34" s="1">
        <v>-0.03</v>
      </c>
      <c r="J34">
        <v>-3.6</v>
      </c>
      <c r="K34" t="str">
        <f t="shared" si="2"/>
        <v>-</v>
      </c>
      <c r="L34">
        <v>-2E-3</v>
      </c>
      <c r="M34">
        <v>-3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-0.62</v>
      </c>
      <c r="D35">
        <v>-19.399999999999999</v>
      </c>
      <c r="E35" t="str">
        <f t="shared" si="0"/>
        <v>-</v>
      </c>
      <c r="F35">
        <v>-4.7E-2</v>
      </c>
      <c r="G35">
        <v>-25.7</v>
      </c>
      <c r="H35" t="str">
        <f t="shared" si="1"/>
        <v>-</v>
      </c>
      <c r="I35" s="1">
        <v>-0.24</v>
      </c>
      <c r="J35">
        <v>-9.3000000000000007</v>
      </c>
      <c r="K35" t="str">
        <f t="shared" si="2"/>
        <v>-</v>
      </c>
      <c r="L35">
        <v>-1.2999999999999999E-2</v>
      </c>
      <c r="M35">
        <v>-9.6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-0.03</v>
      </c>
      <c r="D36">
        <v>-4.0999999999999996</v>
      </c>
      <c r="E36" t="str">
        <f t="shared" si="0"/>
        <v>-</v>
      </c>
      <c r="F36">
        <v>5.0000000000000001E-3</v>
      </c>
      <c r="G36">
        <v>5.8</v>
      </c>
      <c r="H36" t="str">
        <f t="shared" si="1"/>
        <v>-</v>
      </c>
      <c r="I36" s="1">
        <v>-7.0000000000000007E-2</v>
      </c>
      <c r="J36">
        <v>-9.9</v>
      </c>
      <c r="K36" t="str">
        <f t="shared" si="2"/>
        <v>-</v>
      </c>
      <c r="L36">
        <v>-2.1000000000000001E-2</v>
      </c>
      <c r="M36">
        <v>-23.1</v>
      </c>
      <c r="N36" s="2" t="str">
        <f t="shared" si="3"/>
        <v>-</v>
      </c>
    </row>
    <row r="37" spans="1:14">
      <c r="A37" s="11" t="s">
        <v>8</v>
      </c>
      <c r="B37" s="13">
        <v>0.6</v>
      </c>
      <c r="C37">
        <v>0.04</v>
      </c>
      <c r="D37">
        <v>3.6</v>
      </c>
      <c r="E37" t="str">
        <f t="shared" si="0"/>
        <v>-</v>
      </c>
      <c r="F37">
        <v>-8.9999999999999993E-3</v>
      </c>
      <c r="G37">
        <v>-8</v>
      </c>
      <c r="H37" t="str">
        <f t="shared" si="1"/>
        <v>-</v>
      </c>
      <c r="I37" s="1">
        <v>-0.06</v>
      </c>
      <c r="J37">
        <v>-5.2</v>
      </c>
      <c r="K37" t="str">
        <f t="shared" si="2"/>
        <v>-</v>
      </c>
      <c r="L37">
        <v>-1.4E-2</v>
      </c>
      <c r="M37">
        <v>-13.6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-0.05</v>
      </c>
      <c r="D38">
        <v>-5.4</v>
      </c>
      <c r="E38" t="str">
        <f t="shared" si="0"/>
        <v>-</v>
      </c>
      <c r="F38">
        <v>-1.2E-2</v>
      </c>
      <c r="G38">
        <v>-12.2</v>
      </c>
      <c r="H38" t="str">
        <f t="shared" si="1"/>
        <v>-</v>
      </c>
      <c r="I38" s="1">
        <v>0.02</v>
      </c>
      <c r="J38">
        <v>2.2999999999999998</v>
      </c>
      <c r="K38" t="str">
        <f t="shared" si="2"/>
        <v>-</v>
      </c>
      <c r="L38">
        <v>-6.0000000000000001E-3</v>
      </c>
      <c r="M38">
        <v>-7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-0.74</v>
      </c>
      <c r="D39">
        <v>-22.8</v>
      </c>
      <c r="E39" t="str">
        <f t="shared" si="0"/>
        <v>-</v>
      </c>
      <c r="F39">
        <v>-8.7999999999999995E-2</v>
      </c>
      <c r="G39">
        <v>-41.7</v>
      </c>
      <c r="H39" t="str">
        <f t="shared" si="1"/>
        <v>-</v>
      </c>
      <c r="I39" s="1">
        <v>0.28999999999999998</v>
      </c>
      <c r="J39">
        <v>11.6</v>
      </c>
      <c r="K39" t="str">
        <f t="shared" si="2"/>
        <v>-</v>
      </c>
      <c r="L39">
        <v>0.02</v>
      </c>
      <c r="M39">
        <v>16.3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0.09</v>
      </c>
      <c r="D40">
        <v>14.3</v>
      </c>
      <c r="E40" t="str">
        <f t="shared" si="0"/>
        <v>-</v>
      </c>
      <c r="F40">
        <v>-1.4E-2</v>
      </c>
      <c r="G40">
        <v>-16.7</v>
      </c>
      <c r="H40" t="str">
        <f t="shared" si="1"/>
        <v>-</v>
      </c>
      <c r="I40" s="1">
        <v>0.13</v>
      </c>
      <c r="J40">
        <v>18.100000000000001</v>
      </c>
      <c r="K40" t="str">
        <f t="shared" si="2"/>
        <v>-</v>
      </c>
      <c r="L40">
        <v>1.7000000000000001E-2</v>
      </c>
      <c r="M40">
        <v>24.3</v>
      </c>
      <c r="N40" s="2" t="str">
        <f t="shared" si="3"/>
        <v>-</v>
      </c>
    </row>
    <row r="41" spans="1:14">
      <c r="A41" s="11" t="s">
        <v>8</v>
      </c>
      <c r="B41" s="13">
        <v>0.7</v>
      </c>
      <c r="C41">
        <v>-7.0000000000000007E-2</v>
      </c>
      <c r="D41">
        <v>-5.4</v>
      </c>
      <c r="E41" t="str">
        <f t="shared" si="0"/>
        <v>-</v>
      </c>
      <c r="F41">
        <v>-1.0999999999999999E-2</v>
      </c>
      <c r="G41">
        <v>-9.4</v>
      </c>
      <c r="H41" t="str">
        <f t="shared" si="1"/>
        <v>-</v>
      </c>
      <c r="I41" s="1">
        <v>-0.08</v>
      </c>
      <c r="J41">
        <v>-6.5</v>
      </c>
      <c r="K41" t="str">
        <f t="shared" si="2"/>
        <v>-</v>
      </c>
      <c r="L41">
        <v>-1.2E-2</v>
      </c>
      <c r="M41">
        <v>-11.3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0.03</v>
      </c>
      <c r="D42">
        <v>3</v>
      </c>
      <c r="E42" t="str">
        <f t="shared" si="0"/>
        <v>-</v>
      </c>
      <c r="F42">
        <v>-7.0000000000000001E-3</v>
      </c>
      <c r="G42">
        <v>-8.3000000000000007</v>
      </c>
      <c r="H42" t="str">
        <f t="shared" si="1"/>
        <v>-</v>
      </c>
      <c r="I42" s="1">
        <v>-7.0000000000000007E-2</v>
      </c>
      <c r="J42">
        <v>-6.7</v>
      </c>
      <c r="K42" t="str">
        <f t="shared" si="2"/>
        <v>-</v>
      </c>
      <c r="L42">
        <v>-1.4E-2</v>
      </c>
      <c r="M42">
        <v>-18.2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-0.62</v>
      </c>
      <c r="D43">
        <v>-18.5</v>
      </c>
      <c r="E43" t="str">
        <f t="shared" si="0"/>
        <v>-</v>
      </c>
      <c r="F43">
        <v>-0.05</v>
      </c>
      <c r="G43">
        <v>-24.2</v>
      </c>
      <c r="H43" t="str">
        <f t="shared" si="1"/>
        <v>-</v>
      </c>
      <c r="I43" s="1">
        <v>0.28000000000000003</v>
      </c>
      <c r="J43">
        <v>10.3</v>
      </c>
      <c r="K43" t="str">
        <f t="shared" si="2"/>
        <v>-</v>
      </c>
      <c r="L43">
        <v>-2E-3</v>
      </c>
      <c r="M43">
        <v>-1.3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-0.09</v>
      </c>
      <c r="D44">
        <v>-9.1999999999999993</v>
      </c>
      <c r="E44" t="str">
        <f t="shared" si="0"/>
        <v>-</v>
      </c>
      <c r="F44">
        <v>5.0000000000000001E-3</v>
      </c>
      <c r="G44">
        <v>4.5</v>
      </c>
      <c r="H44" t="str">
        <f t="shared" si="1"/>
        <v>-</v>
      </c>
      <c r="I44" s="1">
        <v>-0.08</v>
      </c>
      <c r="J44">
        <v>-9</v>
      </c>
      <c r="K44" t="str">
        <f t="shared" si="2"/>
        <v>-</v>
      </c>
      <c r="L44">
        <v>-3.5000000000000003E-2</v>
      </c>
      <c r="M44">
        <v>-30.4</v>
      </c>
      <c r="N44" s="2" t="str">
        <f t="shared" si="3"/>
        <v>-</v>
      </c>
    </row>
    <row r="45" spans="1:14">
      <c r="A45" s="11" t="s">
        <v>8</v>
      </c>
      <c r="B45" s="13">
        <v>0.8</v>
      </c>
      <c r="C45">
        <v>-0.09</v>
      </c>
      <c r="D45">
        <v>-6.3</v>
      </c>
      <c r="E45" t="str">
        <f t="shared" si="0"/>
        <v>-</v>
      </c>
      <c r="F45">
        <v>-2E-3</v>
      </c>
      <c r="G45">
        <v>-1.7</v>
      </c>
      <c r="H45" t="str">
        <f t="shared" si="1"/>
        <v>-</v>
      </c>
      <c r="I45" s="1">
        <v>0.03</v>
      </c>
      <c r="J45">
        <v>2.2000000000000002</v>
      </c>
      <c r="K45" t="str">
        <f t="shared" si="2"/>
        <v>-</v>
      </c>
      <c r="L45">
        <v>-3.0000000000000001E-3</v>
      </c>
      <c r="M45">
        <v>-2.6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0.11</v>
      </c>
      <c r="D46">
        <v>9.6999999999999993</v>
      </c>
      <c r="E46" t="str">
        <f t="shared" si="0"/>
        <v>-</v>
      </c>
      <c r="F46">
        <v>-4.0000000000000001E-3</v>
      </c>
      <c r="G46">
        <v>-5.2</v>
      </c>
      <c r="H46" t="str">
        <f t="shared" si="1"/>
        <v>-</v>
      </c>
      <c r="I46" s="1">
        <v>-0.09</v>
      </c>
      <c r="J46">
        <v>-7.3</v>
      </c>
      <c r="K46" t="str">
        <f t="shared" si="2"/>
        <v>-</v>
      </c>
      <c r="L46">
        <v>2E-3</v>
      </c>
      <c r="M46">
        <v>2.7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-0.2</v>
      </c>
      <c r="D47">
        <v>-6.1</v>
      </c>
      <c r="E47" t="str">
        <f t="shared" si="0"/>
        <v>-</v>
      </c>
      <c r="F47">
        <v>-4.3999999999999997E-2</v>
      </c>
      <c r="G47">
        <v>-20.8</v>
      </c>
      <c r="H47" t="str">
        <f t="shared" si="1"/>
        <v>-</v>
      </c>
      <c r="I47" s="1">
        <v>0.09</v>
      </c>
      <c r="J47">
        <v>2.9</v>
      </c>
      <c r="K47" t="str">
        <f t="shared" si="2"/>
        <v>-</v>
      </c>
      <c r="L47">
        <v>-8.0000000000000002E-3</v>
      </c>
      <c r="M47">
        <v>-4.8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-0.06</v>
      </c>
      <c r="D48">
        <v>-5.5</v>
      </c>
      <c r="E48" t="str">
        <f t="shared" si="0"/>
        <v>-</v>
      </c>
      <c r="F48">
        <v>-0.03</v>
      </c>
      <c r="G48">
        <v>-21.9</v>
      </c>
      <c r="H48" t="str">
        <f t="shared" si="1"/>
        <v>-</v>
      </c>
      <c r="I48" s="1">
        <v>-0.15</v>
      </c>
      <c r="J48">
        <v>-14.4</v>
      </c>
      <c r="K48" t="str">
        <f t="shared" si="2"/>
        <v>-</v>
      </c>
      <c r="L48">
        <v>-2.4E-2</v>
      </c>
      <c r="M48">
        <v>-22.4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-0.13</v>
      </c>
      <c r="D49">
        <v>-6.2</v>
      </c>
      <c r="E49" t="str">
        <f t="shared" si="0"/>
        <v>-</v>
      </c>
      <c r="F49">
        <v>-1.4E-2</v>
      </c>
      <c r="G49">
        <v>-9.6</v>
      </c>
      <c r="H49" t="str">
        <f t="shared" si="1"/>
        <v>-</v>
      </c>
      <c r="I49" s="1">
        <v>-0.04</v>
      </c>
      <c r="J49">
        <v>-2</v>
      </c>
      <c r="K49" t="str">
        <f t="shared" si="2"/>
        <v>-</v>
      </c>
      <c r="L49">
        <v>-1E-3</v>
      </c>
      <c r="M49">
        <v>-0.8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-0.21</v>
      </c>
      <c r="D50">
        <v>-11.9</v>
      </c>
      <c r="E50" t="str">
        <f t="shared" si="0"/>
        <v>-</v>
      </c>
      <c r="F50">
        <v>-1.7999999999999999E-2</v>
      </c>
      <c r="G50">
        <v>-19.399999999999999</v>
      </c>
      <c r="H50" t="str">
        <f t="shared" si="1"/>
        <v>-</v>
      </c>
      <c r="I50" s="1">
        <v>0.05</v>
      </c>
      <c r="J50">
        <v>3.2</v>
      </c>
      <c r="K50" t="str">
        <f t="shared" si="2"/>
        <v>-</v>
      </c>
      <c r="L50">
        <v>-8.0000000000000002E-3</v>
      </c>
      <c r="M50">
        <v>-10.7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-0.3</v>
      </c>
      <c r="D51">
        <v>-6.8</v>
      </c>
      <c r="E51" t="str">
        <f t="shared" si="0"/>
        <v>-</v>
      </c>
      <c r="F51">
        <v>-4.7E-2</v>
      </c>
      <c r="G51">
        <v>-25.1</v>
      </c>
      <c r="H51" t="str">
        <f t="shared" si="1"/>
        <v>-</v>
      </c>
      <c r="I51" s="1">
        <v>-0.13</v>
      </c>
      <c r="J51">
        <v>-3.2</v>
      </c>
      <c r="K51" t="str">
        <f t="shared" si="2"/>
        <v>-</v>
      </c>
      <c r="L51">
        <v>-7.0000000000000001E-3</v>
      </c>
      <c r="M51">
        <v>-5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-0.23</v>
      </c>
      <c r="D52">
        <v>-9.6</v>
      </c>
      <c r="E52" t="str">
        <f t="shared" si="0"/>
        <v>-</v>
      </c>
      <c r="F52">
        <v>-2.1999999999999999E-2</v>
      </c>
      <c r="G52">
        <v>-12.1</v>
      </c>
      <c r="H52" t="str">
        <f t="shared" si="1"/>
        <v>-</v>
      </c>
      <c r="I52" s="1">
        <v>-0.12</v>
      </c>
      <c r="J52">
        <v>-5.5</v>
      </c>
      <c r="K52" t="str">
        <f t="shared" si="2"/>
        <v>-</v>
      </c>
      <c r="L52">
        <v>-1.6E-2</v>
      </c>
      <c r="M52">
        <v>-10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-0.18250000000000002</v>
      </c>
      <c r="D56">
        <f>AVERAGE(D$5:D$52)</f>
        <v>-5.9166666666666679</v>
      </c>
      <c r="F56">
        <f>AVERAGE(F$5:F$52)</f>
        <v>-2.0895833333333339E-2</v>
      </c>
      <c r="G56">
        <f>AVERAGE(G$5:G$52)</f>
        <v>-12.014583333333333</v>
      </c>
      <c r="I56" s="1">
        <f>AVERAGE(I$5:I$52)</f>
        <v>-1.3125000000000005E-2</v>
      </c>
      <c r="J56">
        <f>AVERAGE(J$5:J$52)</f>
        <v>-1.7250000000000003</v>
      </c>
      <c r="L56">
        <f>AVERAGE(L$5:L$52)</f>
        <v>-5.6041666666666679E-3</v>
      </c>
      <c r="M56">
        <f>AVERAGE(M$5:M$52)</f>
        <v>-4.0958333333333332</v>
      </c>
    </row>
    <row r="57" spans="1:15">
      <c r="B57" s="4" t="s">
        <v>19</v>
      </c>
      <c r="C57">
        <f>MEDIAN(C$5:C$52)</f>
        <v>-0.09</v>
      </c>
      <c r="D57">
        <f>MEDIAN(D$5:D$52)</f>
        <v>-7.4</v>
      </c>
      <c r="F57">
        <f>MEDIAN(F$5:F$52)</f>
        <v>-1.4499999999999999E-2</v>
      </c>
      <c r="G57">
        <f>MEDIAN(G$5:G$52)</f>
        <v>-13.25</v>
      </c>
      <c r="I57" s="1">
        <f>MEDIAN(I$5:I$52)</f>
        <v>-0.03</v>
      </c>
      <c r="J57">
        <f>MEDIAN(J$5:J$52)</f>
        <v>-1.8</v>
      </c>
      <c r="L57">
        <f>MEDIAN(L$5:L$52)</f>
        <v>-2.5000000000000001E-3</v>
      </c>
      <c r="M57">
        <f>MEDIAN(M$5:M$52)</f>
        <v>-2.8</v>
      </c>
    </row>
    <row r="58" spans="1:15">
      <c r="B58" s="4" t="s">
        <v>20</v>
      </c>
      <c r="C58">
        <f>STDEV(C$5:C$52)</f>
        <v>0.30301674695661651</v>
      </c>
      <c r="D58">
        <f>STDEV(D$5:D$52)</f>
        <v>13.176467310327977</v>
      </c>
      <c r="F58">
        <f>STDEV(F$5:F$52)</f>
        <v>2.6928778865846735E-2</v>
      </c>
      <c r="G58">
        <f>STDEV(G$5:G$52)</f>
        <v>17.706543922940902</v>
      </c>
      <c r="I58" s="1">
        <f>STDEV(I$5:I$52)</f>
        <v>0.13776570073088706</v>
      </c>
      <c r="J58">
        <f>STDEV(J$5:J$52)</f>
        <v>9.5212081300284126</v>
      </c>
      <c r="L58">
        <f>STDEV(L$5:L$52)</f>
        <v>1.7958272654617666E-2</v>
      </c>
      <c r="M58">
        <f>STDEV(M$5:M$52)</f>
        <v>16.002193444508194</v>
      </c>
    </row>
    <row r="59" spans="1:15">
      <c r="B59" s="4" t="s">
        <v>21</v>
      </c>
      <c r="C59">
        <f>COUNTIF(C$5:C$52, "&lt;0")</f>
        <v>40</v>
      </c>
      <c r="D59">
        <f>COUNTIF(D$5:D$52, "&lt;0")</f>
        <v>40</v>
      </c>
      <c r="F59">
        <f>COUNTIF(F$5:F$52, "&lt;0")</f>
        <v>42</v>
      </c>
      <c r="G59">
        <f>COUNTIF(G$5:G$52, "&lt;0")</f>
        <v>42</v>
      </c>
      <c r="I59" s="1">
        <f>COUNTIF(I$5:I$52, "&lt;0")</f>
        <v>26</v>
      </c>
      <c r="J59">
        <f>COUNTIF(J$5:J$52, "&lt;0")</f>
        <v>26</v>
      </c>
      <c r="L59">
        <f>COUNTIF(L$5:L$52, "&lt;0")</f>
        <v>29</v>
      </c>
      <c r="M59">
        <f>COUNTIF(M$5:M$52, "&lt;0")</f>
        <v>29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-0.20333333333333334</v>
      </c>
      <c r="D63">
        <f>AVERAGE(D$5:D$28)</f>
        <v>-6.1208333333333336</v>
      </c>
      <c r="F63">
        <f>AVERAGE(F$5:F$28)</f>
        <v>-2.0083333333333338E-2</v>
      </c>
      <c r="G63">
        <f>AVERAGE(G$5:G$28)</f>
        <v>-9.8291666666666675</v>
      </c>
      <c r="I63" s="1">
        <f>AVERAGE(I$5:I$28)</f>
        <v>2.9166666666666633E-3</v>
      </c>
      <c r="J63">
        <f>AVERAGE(J$5:J$28)</f>
        <v>-0.56249999999999989</v>
      </c>
      <c r="L63">
        <f>AVERAGE(L$5:L$28)</f>
        <v>-5.0416666666666674E-3</v>
      </c>
      <c r="M63">
        <f>AVERAGE(M$5:M$28)</f>
        <v>-2.754166666666666</v>
      </c>
    </row>
    <row r="64" spans="1:15">
      <c r="B64" s="4" t="s">
        <v>19</v>
      </c>
      <c r="C64">
        <f>MEDIAN(C$5:C$28)</f>
        <v>-0.10500000000000001</v>
      </c>
      <c r="D64">
        <f>MEDIAN(D$5:D$28)</f>
        <v>-8.5</v>
      </c>
      <c r="F64">
        <f>MEDIAN(F$5:F$28)</f>
        <v>-1.2500000000000001E-2</v>
      </c>
      <c r="G64">
        <f>MEDIAN(G$5:G$28)</f>
        <v>-13.05</v>
      </c>
      <c r="I64" s="1">
        <f>MEDIAN(I$5:I$28)</f>
        <v>1.4999999999999999E-2</v>
      </c>
      <c r="J64">
        <f>MEDIAN(J$5:J$28)</f>
        <v>1.35</v>
      </c>
      <c r="L64">
        <f>MEDIAN(L$5:L$28)</f>
        <v>0</v>
      </c>
      <c r="M64">
        <f>MEDIAN(M$5:M$28)</f>
        <v>0</v>
      </c>
    </row>
    <row r="65" spans="2:13">
      <c r="B65" s="4" t="s">
        <v>20</v>
      </c>
      <c r="C65">
        <f>STDEV(C$5:C$28)</f>
        <v>0.36139424054825403</v>
      </c>
      <c r="D65">
        <f>STDEV(D$5:D$28)</f>
        <v>16.150810429703888</v>
      </c>
      <c r="F65">
        <f>STDEV(F$5:F$28)</f>
        <v>3.1501437740365838E-2</v>
      </c>
      <c r="G65">
        <f>STDEV(G$5:G$28)</f>
        <v>22.090377192179254</v>
      </c>
      <c r="I65" s="1">
        <f>STDEV(I$5:I$28)</f>
        <v>0.1481327009861404</v>
      </c>
      <c r="J65">
        <f>STDEV(J$5:J$28)</f>
        <v>10.767011312741136</v>
      </c>
      <c r="L65">
        <f>STDEV(L$5:L$28)</f>
        <v>2.2691655556262482E-2</v>
      </c>
      <c r="M65">
        <f>STDEV(M$5:M$28)</f>
        <v>19.392131509783905</v>
      </c>
    </row>
    <row r="66" spans="2:13">
      <c r="B66" s="4" t="s">
        <v>21</v>
      </c>
      <c r="C66">
        <f>COUNTIF(C$5:C$28, "&lt;0")</f>
        <v>21</v>
      </c>
      <c r="D66">
        <f>COUNTIF(D$5:D$28, "&lt;0")</f>
        <v>21</v>
      </c>
      <c r="F66">
        <f>COUNTIF(F$5:F$28, "&lt;0")</f>
        <v>21</v>
      </c>
      <c r="G66">
        <f>COUNTIF(G$5:G$28, "&lt;0")</f>
        <v>21</v>
      </c>
      <c r="I66" s="1">
        <f>COUNTIF(I$5:I$28, "&lt;0")</f>
        <v>10</v>
      </c>
      <c r="J66">
        <f>COUNTIF(J$5:J$28, "&lt;0")</f>
        <v>10</v>
      </c>
      <c r="L66">
        <f>COUNTIF(L$5:L$28, "&lt;0")</f>
        <v>10</v>
      </c>
      <c r="M66">
        <f>COUNTIF(M$5:M$28, "&lt;0")</f>
        <v>10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-0.16166666666666668</v>
      </c>
      <c r="D70">
        <f>AVERAGE(D$29:D$52)</f>
        <v>-5.7124999999999995</v>
      </c>
      <c r="F70">
        <f>AVERAGE(F$29:F$52)</f>
        <v>-2.1708333333333333E-2</v>
      </c>
      <c r="G70">
        <f>AVERAGE(G$29:G$52)</f>
        <v>-14.200000000000001</v>
      </c>
      <c r="I70" s="1">
        <f>AVERAGE(I$29:I$52)</f>
        <v>-2.9166666666666671E-2</v>
      </c>
      <c r="J70">
        <f>AVERAGE(J$29:J$52)</f>
        <v>-2.8874999999999997</v>
      </c>
      <c r="L70">
        <f>AVERAGE(L$29:L$52)</f>
        <v>-6.1666666666666675E-3</v>
      </c>
      <c r="M70">
        <f>AVERAGE(M$29:M$52)</f>
        <v>-5.4375</v>
      </c>
    </row>
    <row r="71" spans="2:13">
      <c r="B71" s="4" t="s">
        <v>19</v>
      </c>
      <c r="C71">
        <f>MEDIAN(C$29:C$52)</f>
        <v>-8.4999999999999992E-2</v>
      </c>
      <c r="D71">
        <f>MEDIAN(D$29:D$52)</f>
        <v>-6.15</v>
      </c>
      <c r="F71">
        <f>MEDIAN(F$29:F$52)</f>
        <v>-1.7000000000000001E-2</v>
      </c>
      <c r="G71">
        <f>MEDIAN(G$29:G$52)</f>
        <v>-16.25</v>
      </c>
      <c r="I71" s="1">
        <f>MEDIAN(I$29:I$52)</f>
        <v>-6.5000000000000002E-2</v>
      </c>
      <c r="J71">
        <f>MEDIAN(J$29:J$52)</f>
        <v>-4.4000000000000004</v>
      </c>
      <c r="L71">
        <f>MEDIAN(L$29:L$52)</f>
        <v>-6.5000000000000006E-3</v>
      </c>
      <c r="M71">
        <f>MEDIAN(M$29:M$52)</f>
        <v>-4.9000000000000004</v>
      </c>
    </row>
    <row r="72" spans="2:13">
      <c r="B72" s="4" t="s">
        <v>20</v>
      </c>
      <c r="C72">
        <f>STDEV(C$29:C$52)</f>
        <v>0.23689415480275183</v>
      </c>
      <c r="D72">
        <f>STDEV(D$29:D$52)</f>
        <v>9.6877023120529735</v>
      </c>
      <c r="F72">
        <f>STDEV(F$29:F$52)</f>
        <v>2.2093633091648957E-2</v>
      </c>
      <c r="G72">
        <f>STDEV(G$29:G$52)</f>
        <v>11.946656799944165</v>
      </c>
      <c r="I72" s="1">
        <f>STDEV(I$29:I$52)</f>
        <v>0.12768564206051439</v>
      </c>
      <c r="J72">
        <f>STDEV(J$29:J$52)</f>
        <v>8.154716559998457</v>
      </c>
      <c r="L72">
        <f>STDEV(L$29:L$52)</f>
        <v>1.1977031158109209E-2</v>
      </c>
      <c r="M72">
        <f>STDEV(M$29:M$52)</f>
        <v>11.977580959950716</v>
      </c>
    </row>
    <row r="73" spans="2:13">
      <c r="B73" s="4" t="s">
        <v>21</v>
      </c>
      <c r="C73">
        <f>COUNTIF(C$29:C$52, "&lt;0")</f>
        <v>19</v>
      </c>
      <c r="D73">
        <f>COUNTIF(D$29:D$52, "&lt;0")</f>
        <v>19</v>
      </c>
      <c r="F73">
        <f>COUNTIF(F$29:F$52, "&lt;0")</f>
        <v>21</v>
      </c>
      <c r="G73">
        <f>COUNTIF(G$29:G$52, "&lt;0")</f>
        <v>21</v>
      </c>
      <c r="I73" s="1">
        <f>COUNTIF(I$29:I$52, "&lt;0")</f>
        <v>16</v>
      </c>
      <c r="J73">
        <f>COUNTIF(J$29:J$52, "&lt;0")</f>
        <v>16</v>
      </c>
      <c r="L73">
        <f>COUNTIF(L$29:L$52, "&lt;0")</f>
        <v>19</v>
      </c>
      <c r="M73">
        <f>COUNTIF(M$29:M$52, "&lt;0")</f>
        <v>19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E00A-F429-4213-BFA9-49B9AD1C4FA9}">
  <dimension ref="A1:O73"/>
  <sheetViews>
    <sheetView tabSelected="1" workbookViewId="0">
      <selection activeCell="M5" sqref="M5:M52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9.140625" style="1"/>
  </cols>
  <sheetData>
    <row r="1" spans="1:15" s="3" customFormat="1">
      <c r="B1" s="4"/>
      <c r="C1" s="18" t="s">
        <v>28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s="3" customFormat="1">
      <c r="B2" s="4"/>
      <c r="C2" s="18" t="s">
        <v>1</v>
      </c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7"/>
    </row>
    <row r="3" spans="1:15" s="3" customFormat="1">
      <c r="B3" s="4"/>
      <c r="C3" s="18" t="s">
        <v>3</v>
      </c>
      <c r="D3" s="18"/>
      <c r="E3" s="18"/>
      <c r="F3" s="18" t="s">
        <v>4</v>
      </c>
      <c r="G3" s="18"/>
      <c r="H3" s="18"/>
      <c r="I3" s="19" t="s">
        <v>3</v>
      </c>
      <c r="J3" s="18"/>
      <c r="K3" s="18"/>
      <c r="L3" s="18" t="s">
        <v>4</v>
      </c>
      <c r="M3" s="18"/>
      <c r="N3" s="18"/>
      <c r="O3" s="17"/>
    </row>
    <row r="4" spans="1:15" s="5" customFormat="1">
      <c r="B4" s="6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  <c r="I4" s="7" t="s">
        <v>5</v>
      </c>
      <c r="J4" s="5" t="s">
        <v>6</v>
      </c>
      <c r="K4" s="5" t="s">
        <v>7</v>
      </c>
      <c r="L4" s="5" t="s">
        <v>5</v>
      </c>
      <c r="M4" s="5" t="s">
        <v>6</v>
      </c>
      <c r="N4" s="6" t="s">
        <v>7</v>
      </c>
      <c r="O4" s="7"/>
    </row>
    <row r="5" spans="1:15">
      <c r="A5" s="11" t="s">
        <v>8</v>
      </c>
      <c r="B5" s="12" t="s">
        <v>9</v>
      </c>
      <c r="C5">
        <v>-0.04</v>
      </c>
      <c r="D5">
        <v>-2.9</v>
      </c>
      <c r="E5" t="str">
        <f>IF(ABS(D5)&gt;50,"?","-")</f>
        <v>-</v>
      </c>
      <c r="F5">
        <v>-0.01</v>
      </c>
      <c r="G5">
        <v>-7.2</v>
      </c>
      <c r="H5" t="str">
        <f>IF(ABS(G5)&gt;50,"?","-")</f>
        <v>-</v>
      </c>
      <c r="I5" s="1">
        <v>0.01</v>
      </c>
      <c r="J5">
        <v>0.8</v>
      </c>
      <c r="K5" t="str">
        <f>IF(ABS(J5)&gt;50,"?","-")</f>
        <v>-</v>
      </c>
      <c r="L5">
        <v>-1E-3</v>
      </c>
      <c r="M5">
        <v>-0.8</v>
      </c>
      <c r="N5" s="2" t="str">
        <f>IF(ABS(M5)&gt;50,"?","-")</f>
        <v>-</v>
      </c>
    </row>
    <row r="6" spans="1:15">
      <c r="A6" s="11" t="s">
        <v>10</v>
      </c>
      <c r="B6" s="12" t="s">
        <v>9</v>
      </c>
      <c r="C6">
        <v>-0.09</v>
      </c>
      <c r="D6">
        <v>-7.6</v>
      </c>
      <c r="E6" t="str">
        <f t="shared" ref="E6:E52" si="0">IF(ABS(D6)&gt;50,"?","-")</f>
        <v>-</v>
      </c>
      <c r="F6">
        <v>3.0000000000000001E-3</v>
      </c>
      <c r="G6">
        <v>3</v>
      </c>
      <c r="H6" t="str">
        <f t="shared" ref="H6:H52" si="1">IF(ABS(G6)&gt;50,"?","-")</f>
        <v>-</v>
      </c>
      <c r="I6" s="1">
        <v>-0.02</v>
      </c>
      <c r="J6">
        <v>-1.8</v>
      </c>
      <c r="K6" t="str">
        <f t="shared" ref="K6:K52" si="2">IF(ABS(J6)&gt;50,"?","-")</f>
        <v>-</v>
      </c>
      <c r="L6">
        <v>-5.0000000000000001E-3</v>
      </c>
      <c r="M6">
        <v>-4.9000000000000004</v>
      </c>
      <c r="N6" s="2" t="str">
        <f t="shared" ref="N6:N52" si="3">IF(ABS(M6)&gt;50,"?","-")</f>
        <v>-</v>
      </c>
    </row>
    <row r="7" spans="1:15">
      <c r="A7" s="11" t="s">
        <v>11</v>
      </c>
      <c r="B7" s="12" t="s">
        <v>9</v>
      </c>
      <c r="C7">
        <v>-0.02</v>
      </c>
      <c r="D7">
        <v>-0.4</v>
      </c>
      <c r="E7" t="str">
        <f t="shared" si="0"/>
        <v>-</v>
      </c>
      <c r="F7">
        <v>-5.0000000000000001E-3</v>
      </c>
      <c r="G7">
        <v>-1.7</v>
      </c>
      <c r="H7" t="str">
        <f t="shared" si="1"/>
        <v>-</v>
      </c>
      <c r="I7" s="1">
        <v>-0.05</v>
      </c>
      <c r="J7">
        <v>-1.1000000000000001</v>
      </c>
      <c r="K7" t="str">
        <f t="shared" si="2"/>
        <v>-</v>
      </c>
      <c r="L7">
        <v>-2E-3</v>
      </c>
      <c r="M7">
        <v>-0.7</v>
      </c>
      <c r="N7" s="2" t="str">
        <f t="shared" si="3"/>
        <v>-</v>
      </c>
    </row>
    <row r="8" spans="1:15">
      <c r="A8" s="11" t="s">
        <v>12</v>
      </c>
      <c r="B8" s="12" t="s">
        <v>9</v>
      </c>
      <c r="C8">
        <v>0.01</v>
      </c>
      <c r="D8">
        <v>1.1000000000000001</v>
      </c>
      <c r="E8" t="str">
        <f t="shared" si="0"/>
        <v>-</v>
      </c>
      <c r="F8">
        <v>3.0000000000000001E-3</v>
      </c>
      <c r="G8">
        <v>3.8</v>
      </c>
      <c r="H8" t="str">
        <f t="shared" si="1"/>
        <v>-</v>
      </c>
      <c r="I8" s="1">
        <v>0</v>
      </c>
      <c r="J8">
        <v>0</v>
      </c>
      <c r="K8" t="str">
        <f t="shared" si="2"/>
        <v>-</v>
      </c>
      <c r="L8">
        <v>3.0000000000000001E-3</v>
      </c>
      <c r="M8">
        <v>3.7</v>
      </c>
      <c r="N8" s="2" t="str">
        <f t="shared" si="3"/>
        <v>-</v>
      </c>
    </row>
    <row r="9" spans="1:15">
      <c r="A9" s="11" t="s">
        <v>8</v>
      </c>
      <c r="B9" s="12" t="s">
        <v>13</v>
      </c>
      <c r="C9">
        <v>-0.14000000000000001</v>
      </c>
      <c r="D9">
        <v>-10.4</v>
      </c>
      <c r="E9" t="str">
        <f t="shared" si="0"/>
        <v>-</v>
      </c>
      <c r="F9">
        <v>-1.6E-2</v>
      </c>
      <c r="G9">
        <v>-11.8</v>
      </c>
      <c r="H9" t="str">
        <f t="shared" si="1"/>
        <v>-</v>
      </c>
      <c r="I9" s="1">
        <v>0.09</v>
      </c>
      <c r="J9">
        <v>7.4</v>
      </c>
      <c r="K9" t="str">
        <f t="shared" si="2"/>
        <v>-</v>
      </c>
      <c r="L9">
        <v>0</v>
      </c>
      <c r="M9">
        <v>0</v>
      </c>
      <c r="N9" s="2" t="str">
        <f t="shared" si="3"/>
        <v>-</v>
      </c>
    </row>
    <row r="10" spans="1:15">
      <c r="A10" s="11" t="s">
        <v>10</v>
      </c>
      <c r="B10" s="12" t="s">
        <v>13</v>
      </c>
      <c r="C10">
        <v>-0.08</v>
      </c>
      <c r="D10">
        <v>-6.8</v>
      </c>
      <c r="E10" t="str">
        <f t="shared" si="0"/>
        <v>-</v>
      </c>
      <c r="F10">
        <v>-8.9999999999999993E-3</v>
      </c>
      <c r="G10">
        <v>-7.7</v>
      </c>
      <c r="H10" t="str">
        <f t="shared" si="1"/>
        <v>-</v>
      </c>
      <c r="I10" s="1">
        <v>0.02</v>
      </c>
      <c r="J10">
        <v>1.8</v>
      </c>
      <c r="K10" t="str">
        <f t="shared" si="2"/>
        <v>-</v>
      </c>
      <c r="L10">
        <v>1E-3</v>
      </c>
      <c r="M10">
        <v>0.9</v>
      </c>
      <c r="N10" s="2" t="str">
        <f t="shared" si="3"/>
        <v>-</v>
      </c>
    </row>
    <row r="11" spans="1:15">
      <c r="A11" s="11" t="s">
        <v>11</v>
      </c>
      <c r="B11" s="12" t="s">
        <v>13</v>
      </c>
      <c r="C11">
        <v>-0.01</v>
      </c>
      <c r="D11">
        <v>-0.2</v>
      </c>
      <c r="E11" t="str">
        <f t="shared" si="0"/>
        <v>-</v>
      </c>
      <c r="F11">
        <v>-1.0999999999999999E-2</v>
      </c>
      <c r="G11">
        <v>-4.2</v>
      </c>
      <c r="H11" t="str">
        <f t="shared" si="1"/>
        <v>-</v>
      </c>
      <c r="I11" s="1">
        <v>-0.25</v>
      </c>
      <c r="J11">
        <v>-6</v>
      </c>
      <c r="K11" t="str">
        <f t="shared" si="2"/>
        <v>-</v>
      </c>
      <c r="L11">
        <v>-8.0000000000000002E-3</v>
      </c>
      <c r="M11">
        <v>-3.1</v>
      </c>
      <c r="N11" s="2" t="str">
        <f t="shared" si="3"/>
        <v>-</v>
      </c>
    </row>
    <row r="12" spans="1:15">
      <c r="A12" s="11" t="s">
        <v>12</v>
      </c>
      <c r="B12" s="12" t="s">
        <v>13</v>
      </c>
      <c r="C12">
        <v>-0.03</v>
      </c>
      <c r="D12">
        <v>-2.5</v>
      </c>
      <c r="E12" t="str">
        <f t="shared" si="0"/>
        <v>-</v>
      </c>
      <c r="F12">
        <v>2.5000000000000001E-2</v>
      </c>
      <c r="G12">
        <v>22.5</v>
      </c>
      <c r="H12" t="str">
        <f t="shared" si="1"/>
        <v>-</v>
      </c>
      <c r="I12" s="1">
        <v>-0.27</v>
      </c>
      <c r="J12">
        <v>-22.7</v>
      </c>
      <c r="K12" t="str">
        <f t="shared" si="2"/>
        <v>-</v>
      </c>
      <c r="L12">
        <v>-3.9E-2</v>
      </c>
      <c r="M12">
        <v>-28.7</v>
      </c>
      <c r="N12" s="2" t="str">
        <f t="shared" si="3"/>
        <v>-</v>
      </c>
    </row>
    <row r="13" spans="1:15">
      <c r="A13" s="11" t="s">
        <v>8</v>
      </c>
      <c r="B13" s="12" t="s">
        <v>14</v>
      </c>
      <c r="C13">
        <v>-0.13</v>
      </c>
      <c r="D13">
        <v>-9.6</v>
      </c>
      <c r="E13" t="str">
        <f t="shared" si="0"/>
        <v>-</v>
      </c>
      <c r="F13">
        <v>-2.1999999999999999E-2</v>
      </c>
      <c r="G13">
        <v>-16.2</v>
      </c>
      <c r="H13" t="str">
        <f t="shared" si="1"/>
        <v>-</v>
      </c>
      <c r="I13" s="1">
        <v>0.01</v>
      </c>
      <c r="J13">
        <v>0.8</v>
      </c>
      <c r="K13" t="str">
        <f t="shared" si="2"/>
        <v>-</v>
      </c>
      <c r="L13">
        <v>7.0000000000000001E-3</v>
      </c>
      <c r="M13">
        <v>6.1</v>
      </c>
      <c r="N13" s="2" t="str">
        <f t="shared" si="3"/>
        <v>-</v>
      </c>
    </row>
    <row r="14" spans="1:15">
      <c r="A14" s="11" t="s">
        <v>10</v>
      </c>
      <c r="B14" s="12" t="s">
        <v>14</v>
      </c>
      <c r="C14">
        <v>0.08</v>
      </c>
      <c r="D14">
        <v>7.3</v>
      </c>
      <c r="E14" t="str">
        <f t="shared" si="0"/>
        <v>-</v>
      </c>
      <c r="F14">
        <v>1.0999999999999999E-2</v>
      </c>
      <c r="G14">
        <v>11.1</v>
      </c>
      <c r="H14" t="str">
        <f t="shared" si="1"/>
        <v>-</v>
      </c>
      <c r="I14" s="1">
        <v>-0.06</v>
      </c>
      <c r="J14">
        <v>-5.0999999999999996</v>
      </c>
      <c r="K14" t="str">
        <f t="shared" si="2"/>
        <v>-</v>
      </c>
      <c r="L14">
        <v>-8.0000000000000002E-3</v>
      </c>
      <c r="M14">
        <v>-7.3</v>
      </c>
      <c r="N14" s="2" t="str">
        <f t="shared" si="3"/>
        <v>-</v>
      </c>
    </row>
    <row r="15" spans="1:15">
      <c r="A15" s="11" t="s">
        <v>11</v>
      </c>
      <c r="B15" s="12" t="s">
        <v>14</v>
      </c>
      <c r="C15">
        <v>-0.23</v>
      </c>
      <c r="D15">
        <v>-5.7</v>
      </c>
      <c r="E15" t="str">
        <f t="shared" si="0"/>
        <v>-</v>
      </c>
      <c r="F15">
        <v>-2.4E-2</v>
      </c>
      <c r="G15">
        <v>-9.6</v>
      </c>
      <c r="H15" t="str">
        <f t="shared" si="1"/>
        <v>-</v>
      </c>
      <c r="I15" s="1">
        <v>0.03</v>
      </c>
      <c r="J15">
        <v>0.8</v>
      </c>
      <c r="K15" t="str">
        <f t="shared" si="2"/>
        <v>-</v>
      </c>
      <c r="L15">
        <v>0</v>
      </c>
      <c r="M15">
        <v>0</v>
      </c>
      <c r="N15" s="2" t="str">
        <f t="shared" si="3"/>
        <v>-</v>
      </c>
    </row>
    <row r="16" spans="1:15">
      <c r="A16" s="11" t="s">
        <v>12</v>
      </c>
      <c r="B16" s="12" t="s">
        <v>14</v>
      </c>
      <c r="C16">
        <v>-0.03</v>
      </c>
      <c r="D16">
        <v>-3.8</v>
      </c>
      <c r="E16" t="str">
        <f t="shared" si="0"/>
        <v>-</v>
      </c>
      <c r="F16">
        <v>1E-3</v>
      </c>
      <c r="G16">
        <v>2</v>
      </c>
      <c r="H16" t="str">
        <f t="shared" si="1"/>
        <v>-</v>
      </c>
      <c r="I16" s="1">
        <v>0.01</v>
      </c>
      <c r="J16">
        <v>1.3</v>
      </c>
      <c r="K16" t="str">
        <f t="shared" si="2"/>
        <v>-</v>
      </c>
      <c r="L16">
        <v>0</v>
      </c>
      <c r="M16">
        <v>0</v>
      </c>
      <c r="N16" s="2" t="str">
        <f t="shared" si="3"/>
        <v>-</v>
      </c>
    </row>
    <row r="17" spans="1:14">
      <c r="A17" s="11" t="s">
        <v>8</v>
      </c>
      <c r="B17" s="12" t="s">
        <v>15</v>
      </c>
      <c r="C17">
        <v>-0.23</v>
      </c>
      <c r="D17">
        <v>-16.7</v>
      </c>
      <c r="E17" t="str">
        <f t="shared" si="0"/>
        <v>-</v>
      </c>
      <c r="F17">
        <v>-2.8000000000000001E-2</v>
      </c>
      <c r="G17">
        <v>-21.1</v>
      </c>
      <c r="H17" t="str">
        <f t="shared" si="1"/>
        <v>-</v>
      </c>
      <c r="I17" s="1">
        <v>-0.02</v>
      </c>
      <c r="J17">
        <v>-1.7</v>
      </c>
      <c r="K17" t="str">
        <f t="shared" si="2"/>
        <v>-</v>
      </c>
      <c r="L17">
        <v>-2E-3</v>
      </c>
      <c r="M17">
        <v>-1.9</v>
      </c>
      <c r="N17" s="2" t="str">
        <f t="shared" si="3"/>
        <v>-</v>
      </c>
    </row>
    <row r="18" spans="1:14">
      <c r="A18" s="11" t="s">
        <v>10</v>
      </c>
      <c r="B18" s="12" t="s">
        <v>15</v>
      </c>
      <c r="C18">
        <v>-0.09</v>
      </c>
      <c r="D18">
        <v>-7.8</v>
      </c>
      <c r="E18" t="str">
        <f t="shared" si="0"/>
        <v>-</v>
      </c>
      <c r="F18">
        <v>-3.0000000000000001E-3</v>
      </c>
      <c r="G18">
        <v>-2.8</v>
      </c>
      <c r="H18" t="str">
        <f t="shared" si="1"/>
        <v>-</v>
      </c>
      <c r="I18" s="1">
        <v>-0.02</v>
      </c>
      <c r="J18">
        <v>-1.9</v>
      </c>
      <c r="K18" t="str">
        <f t="shared" si="2"/>
        <v>-</v>
      </c>
      <c r="L18">
        <v>-2E-3</v>
      </c>
      <c r="M18">
        <v>-1.9</v>
      </c>
      <c r="N18" s="2" t="str">
        <f t="shared" si="3"/>
        <v>-</v>
      </c>
    </row>
    <row r="19" spans="1:14">
      <c r="A19" s="11" t="s">
        <v>11</v>
      </c>
      <c r="B19" s="12" t="s">
        <v>15</v>
      </c>
      <c r="C19">
        <v>-0.03</v>
      </c>
      <c r="D19">
        <v>-0.9</v>
      </c>
      <c r="E19" t="str">
        <f t="shared" si="0"/>
        <v>-</v>
      </c>
      <c r="F19">
        <v>-1.4E-2</v>
      </c>
      <c r="G19">
        <v>-6.9</v>
      </c>
      <c r="H19" t="str">
        <f t="shared" si="1"/>
        <v>-</v>
      </c>
      <c r="I19" s="1">
        <v>0.01</v>
      </c>
      <c r="J19">
        <v>0.3</v>
      </c>
      <c r="K19" t="str">
        <f t="shared" si="2"/>
        <v>-</v>
      </c>
      <c r="L19">
        <v>0</v>
      </c>
      <c r="M19">
        <v>0</v>
      </c>
      <c r="N19" s="2" t="str">
        <f t="shared" si="3"/>
        <v>-</v>
      </c>
    </row>
    <row r="20" spans="1:14">
      <c r="A20" s="11" t="s">
        <v>12</v>
      </c>
      <c r="B20" s="12" t="s">
        <v>15</v>
      </c>
      <c r="C20">
        <v>-0.2</v>
      </c>
      <c r="D20">
        <v>-20.8</v>
      </c>
      <c r="E20" t="str">
        <f t="shared" si="0"/>
        <v>-</v>
      </c>
      <c r="F20">
        <v>-3.5000000000000003E-2</v>
      </c>
      <c r="G20">
        <v>-45.5</v>
      </c>
      <c r="H20" t="str">
        <f t="shared" si="1"/>
        <v>-</v>
      </c>
      <c r="I20" s="1">
        <v>0.24</v>
      </c>
      <c r="J20">
        <v>31.6</v>
      </c>
      <c r="K20" t="str">
        <f t="shared" si="2"/>
        <v>-</v>
      </c>
      <c r="L20">
        <v>1.0999999999999999E-2</v>
      </c>
      <c r="M20">
        <v>26.2</v>
      </c>
      <c r="N20" s="2" t="str">
        <f t="shared" si="3"/>
        <v>-</v>
      </c>
    </row>
    <row r="21" spans="1:14">
      <c r="A21" s="11" t="s">
        <v>8</v>
      </c>
      <c r="B21" s="12" t="s">
        <v>16</v>
      </c>
      <c r="C21">
        <v>-0.15</v>
      </c>
      <c r="D21">
        <v>-11.3</v>
      </c>
      <c r="E21" t="str">
        <f t="shared" si="0"/>
        <v>-</v>
      </c>
      <c r="F21">
        <v>-1.9E-2</v>
      </c>
      <c r="G21">
        <v>-15.6</v>
      </c>
      <c r="H21" t="str">
        <f t="shared" si="1"/>
        <v>-</v>
      </c>
      <c r="I21" s="1">
        <v>-0.05</v>
      </c>
      <c r="J21">
        <v>-4.2</v>
      </c>
      <c r="K21" t="str">
        <f t="shared" si="2"/>
        <v>-</v>
      </c>
      <c r="L21">
        <v>3.0000000000000001E-3</v>
      </c>
      <c r="M21">
        <v>2.9</v>
      </c>
      <c r="N21" s="2" t="str">
        <f t="shared" si="3"/>
        <v>-</v>
      </c>
    </row>
    <row r="22" spans="1:14">
      <c r="A22" s="11" t="s">
        <v>10</v>
      </c>
      <c r="B22" s="12" t="s">
        <v>16</v>
      </c>
      <c r="C22">
        <v>-0.15</v>
      </c>
      <c r="D22">
        <v>-12.5</v>
      </c>
      <c r="E22" t="str">
        <f t="shared" si="0"/>
        <v>-</v>
      </c>
      <c r="F22">
        <v>-1.7999999999999999E-2</v>
      </c>
      <c r="G22">
        <v>-17</v>
      </c>
      <c r="H22" t="str">
        <f t="shared" si="1"/>
        <v>-</v>
      </c>
      <c r="I22" s="1">
        <v>-7.0000000000000007E-2</v>
      </c>
      <c r="J22">
        <v>-6.7</v>
      </c>
      <c r="K22" t="str">
        <f t="shared" si="2"/>
        <v>-</v>
      </c>
      <c r="L22">
        <v>5.0000000000000001E-3</v>
      </c>
      <c r="M22">
        <v>5.7</v>
      </c>
      <c r="N22" s="2" t="str">
        <f t="shared" si="3"/>
        <v>-</v>
      </c>
    </row>
    <row r="23" spans="1:14">
      <c r="A23" s="11" t="s">
        <v>11</v>
      </c>
      <c r="B23" s="12" t="s">
        <v>16</v>
      </c>
      <c r="C23">
        <v>-0.31</v>
      </c>
      <c r="D23">
        <v>-8.1999999999999993</v>
      </c>
      <c r="E23" t="str">
        <f t="shared" si="0"/>
        <v>-</v>
      </c>
      <c r="F23">
        <v>-2.5000000000000001E-2</v>
      </c>
      <c r="G23">
        <v>-11.7</v>
      </c>
      <c r="H23" t="str">
        <f t="shared" si="1"/>
        <v>-</v>
      </c>
      <c r="I23" s="1">
        <v>0.02</v>
      </c>
      <c r="J23">
        <v>0.6</v>
      </c>
      <c r="K23" t="str">
        <f t="shared" si="2"/>
        <v>-</v>
      </c>
      <c r="L23">
        <v>1E-3</v>
      </c>
      <c r="M23">
        <v>0.5</v>
      </c>
      <c r="N23" s="2" t="str">
        <f t="shared" si="3"/>
        <v>-</v>
      </c>
    </row>
    <row r="24" spans="1:14">
      <c r="A24" s="11" t="s">
        <v>12</v>
      </c>
      <c r="B24" s="12" t="s">
        <v>16</v>
      </c>
      <c r="C24">
        <v>-0.11</v>
      </c>
      <c r="D24">
        <v>-13.6</v>
      </c>
      <c r="E24" t="str">
        <f t="shared" si="0"/>
        <v>-</v>
      </c>
      <c r="F24">
        <v>-0.02</v>
      </c>
      <c r="G24">
        <v>-30.8</v>
      </c>
      <c r="H24" t="str">
        <f t="shared" si="1"/>
        <v>-</v>
      </c>
      <c r="I24" s="1">
        <v>0.11</v>
      </c>
      <c r="J24">
        <v>15.7</v>
      </c>
      <c r="K24" t="str">
        <f t="shared" si="2"/>
        <v>-</v>
      </c>
      <c r="L24">
        <v>1.4999999999999999E-2</v>
      </c>
      <c r="M24">
        <v>33.299999999999997</v>
      </c>
      <c r="N24" s="2" t="str">
        <f t="shared" si="3"/>
        <v>-</v>
      </c>
    </row>
    <row r="25" spans="1:14">
      <c r="A25" s="11" t="s">
        <v>8</v>
      </c>
      <c r="B25" s="12" t="s">
        <v>17</v>
      </c>
      <c r="C25">
        <v>0.03</v>
      </c>
      <c r="D25">
        <v>2.4</v>
      </c>
      <c r="E25" t="str">
        <f t="shared" si="0"/>
        <v>-</v>
      </c>
      <c r="F25">
        <v>4.0000000000000001E-3</v>
      </c>
      <c r="G25">
        <v>3.4</v>
      </c>
      <c r="H25" t="str">
        <f t="shared" si="1"/>
        <v>-</v>
      </c>
      <c r="I25" s="1">
        <v>-0.04</v>
      </c>
      <c r="J25">
        <v>-3.2</v>
      </c>
      <c r="K25" t="str">
        <f t="shared" si="2"/>
        <v>-</v>
      </c>
      <c r="L25">
        <v>2E-3</v>
      </c>
      <c r="M25">
        <v>1.7</v>
      </c>
      <c r="N25" s="2" t="str">
        <f t="shared" si="3"/>
        <v>-</v>
      </c>
    </row>
    <row r="26" spans="1:14">
      <c r="A26" s="11" t="s">
        <v>10</v>
      </c>
      <c r="B26" s="12" t="s">
        <v>17</v>
      </c>
      <c r="C26">
        <v>-0.56000000000000005</v>
      </c>
      <c r="D26">
        <v>-38.4</v>
      </c>
      <c r="E26" t="str">
        <f t="shared" si="0"/>
        <v>-</v>
      </c>
      <c r="F26">
        <v>-3.4000000000000002E-2</v>
      </c>
      <c r="G26">
        <v>-28.8</v>
      </c>
      <c r="H26" t="str">
        <f t="shared" si="1"/>
        <v>-</v>
      </c>
      <c r="I26" s="1">
        <v>0.34</v>
      </c>
      <c r="J26">
        <v>37.799999999999997</v>
      </c>
      <c r="K26" t="str">
        <f t="shared" si="2"/>
        <v>-</v>
      </c>
      <c r="L26">
        <v>3.4000000000000002E-2</v>
      </c>
      <c r="M26">
        <v>40.5</v>
      </c>
      <c r="N26" s="2" t="str">
        <f t="shared" si="3"/>
        <v>-</v>
      </c>
    </row>
    <row r="27" spans="1:14">
      <c r="A27" s="11" t="s">
        <v>11</v>
      </c>
      <c r="B27" s="12" t="s">
        <v>17</v>
      </c>
      <c r="C27">
        <v>-0.26</v>
      </c>
      <c r="D27">
        <v>-9.6</v>
      </c>
      <c r="E27" t="str">
        <f t="shared" si="0"/>
        <v>-</v>
      </c>
      <c r="F27">
        <v>-2.5999999999999999E-2</v>
      </c>
      <c r="G27">
        <v>-13.9</v>
      </c>
      <c r="H27" t="str">
        <f t="shared" si="1"/>
        <v>-</v>
      </c>
      <c r="I27" s="1">
        <v>-0.19</v>
      </c>
      <c r="J27">
        <v>-7.8</v>
      </c>
      <c r="K27" t="str">
        <f t="shared" si="2"/>
        <v>-</v>
      </c>
      <c r="L27">
        <v>-5.0000000000000001E-3</v>
      </c>
      <c r="M27">
        <v>-3.1</v>
      </c>
      <c r="N27" s="2" t="str">
        <f t="shared" si="3"/>
        <v>-</v>
      </c>
    </row>
    <row r="28" spans="1:14">
      <c r="A28" s="11" t="s">
        <v>12</v>
      </c>
      <c r="B28" s="12" t="s">
        <v>17</v>
      </c>
      <c r="C28">
        <v>0.13</v>
      </c>
      <c r="D28">
        <v>14.6</v>
      </c>
      <c r="E28" t="str">
        <f t="shared" si="0"/>
        <v>-</v>
      </c>
      <c r="F28">
        <v>3.5000000000000003E-2</v>
      </c>
      <c r="G28">
        <v>43.2</v>
      </c>
      <c r="H28" t="str">
        <f t="shared" si="1"/>
        <v>-</v>
      </c>
      <c r="I28" s="1">
        <v>-0.05</v>
      </c>
      <c r="J28">
        <v>-4.9000000000000004</v>
      </c>
      <c r="K28" t="str">
        <f t="shared" si="2"/>
        <v>-</v>
      </c>
      <c r="L28">
        <v>-4.0000000000000001E-3</v>
      </c>
      <c r="M28">
        <v>-3.4</v>
      </c>
      <c r="N28" s="2" t="str">
        <f t="shared" si="3"/>
        <v>-</v>
      </c>
    </row>
    <row r="29" spans="1:14">
      <c r="A29" s="11" t="s">
        <v>8</v>
      </c>
      <c r="B29" s="13">
        <v>0.4</v>
      </c>
      <c r="C29">
        <v>-0.23</v>
      </c>
      <c r="D29">
        <v>-19</v>
      </c>
      <c r="E29" t="str">
        <f t="shared" si="0"/>
        <v>-</v>
      </c>
      <c r="F29">
        <v>-3.5000000000000003E-2</v>
      </c>
      <c r="G29">
        <v>-28.9</v>
      </c>
      <c r="H29" t="str">
        <f t="shared" si="1"/>
        <v>-</v>
      </c>
      <c r="I29" s="1">
        <v>0.05</v>
      </c>
      <c r="J29">
        <v>5.0999999999999996</v>
      </c>
      <c r="K29" t="str">
        <f t="shared" si="2"/>
        <v>-</v>
      </c>
      <c r="L29">
        <v>1E-3</v>
      </c>
      <c r="M29">
        <v>1.2</v>
      </c>
      <c r="N29" s="2" t="str">
        <f t="shared" si="3"/>
        <v>-</v>
      </c>
    </row>
    <row r="30" spans="1:14">
      <c r="A30" s="11" t="s">
        <v>10</v>
      </c>
      <c r="B30" s="13">
        <v>0.4</v>
      </c>
      <c r="C30">
        <v>-0.46</v>
      </c>
      <c r="D30">
        <v>-34.6</v>
      </c>
      <c r="E30" t="str">
        <f t="shared" si="0"/>
        <v>-</v>
      </c>
      <c r="F30">
        <v>-4.2999999999999997E-2</v>
      </c>
      <c r="G30">
        <v>-32.6</v>
      </c>
      <c r="H30" t="str">
        <f t="shared" si="1"/>
        <v>-</v>
      </c>
      <c r="I30" s="1">
        <v>0.13</v>
      </c>
      <c r="J30">
        <v>14.9</v>
      </c>
      <c r="K30" t="str">
        <f t="shared" si="2"/>
        <v>-</v>
      </c>
      <c r="L30">
        <v>-4.0000000000000001E-3</v>
      </c>
      <c r="M30">
        <v>-4.5</v>
      </c>
      <c r="N30" s="2" t="str">
        <f t="shared" si="3"/>
        <v>-</v>
      </c>
    </row>
    <row r="31" spans="1:14">
      <c r="A31" s="11" t="s">
        <v>11</v>
      </c>
      <c r="B31" s="13">
        <v>0.4</v>
      </c>
      <c r="C31">
        <v>-0.22</v>
      </c>
      <c r="D31">
        <v>-10.3</v>
      </c>
      <c r="E31" t="str">
        <f t="shared" si="0"/>
        <v>-</v>
      </c>
      <c r="F31">
        <v>-4.8000000000000001E-2</v>
      </c>
      <c r="G31">
        <v>-28.4</v>
      </c>
      <c r="H31" t="str">
        <f t="shared" si="1"/>
        <v>-</v>
      </c>
      <c r="I31" s="1">
        <v>0.18</v>
      </c>
      <c r="J31">
        <v>9.4</v>
      </c>
      <c r="K31" t="str">
        <f t="shared" si="2"/>
        <v>-</v>
      </c>
      <c r="L31">
        <v>3.0000000000000001E-3</v>
      </c>
      <c r="M31">
        <v>2.5</v>
      </c>
      <c r="N31" s="2" t="str">
        <f t="shared" si="3"/>
        <v>-</v>
      </c>
    </row>
    <row r="32" spans="1:14">
      <c r="A32" s="11" t="s">
        <v>12</v>
      </c>
      <c r="B32" s="13">
        <v>0.4</v>
      </c>
      <c r="C32">
        <v>-0.67</v>
      </c>
      <c r="D32">
        <v>-50</v>
      </c>
      <c r="E32" t="str">
        <f t="shared" si="0"/>
        <v>-</v>
      </c>
      <c r="F32">
        <v>-6.6000000000000003E-2</v>
      </c>
      <c r="G32">
        <v>-50.4</v>
      </c>
      <c r="H32" t="str">
        <f t="shared" si="1"/>
        <v>?</v>
      </c>
      <c r="I32" s="1">
        <v>0.25</v>
      </c>
      <c r="J32">
        <v>37.299999999999997</v>
      </c>
      <c r="K32" t="str">
        <f t="shared" si="2"/>
        <v>-</v>
      </c>
      <c r="L32">
        <v>3.3000000000000002E-2</v>
      </c>
      <c r="M32">
        <v>50.8</v>
      </c>
      <c r="N32" s="2" t="str">
        <f t="shared" si="3"/>
        <v>?</v>
      </c>
    </row>
    <row r="33" spans="1:14">
      <c r="A33" s="11" t="s">
        <v>8</v>
      </c>
      <c r="B33" s="13">
        <v>0.5</v>
      </c>
      <c r="C33">
        <v>-0.11</v>
      </c>
      <c r="D33">
        <v>-8.6</v>
      </c>
      <c r="E33" t="str">
        <f t="shared" si="0"/>
        <v>-</v>
      </c>
      <c r="F33">
        <v>-8.0000000000000002E-3</v>
      </c>
      <c r="G33">
        <v>-6.7</v>
      </c>
      <c r="H33" t="str">
        <f t="shared" si="1"/>
        <v>-</v>
      </c>
      <c r="I33" s="1">
        <v>-0.15</v>
      </c>
      <c r="J33">
        <v>-12.8</v>
      </c>
      <c r="K33" t="str">
        <f t="shared" si="2"/>
        <v>-</v>
      </c>
      <c r="L33">
        <v>-2.1000000000000001E-2</v>
      </c>
      <c r="M33">
        <v>-18.899999999999999</v>
      </c>
      <c r="N33" s="2" t="str">
        <f t="shared" si="3"/>
        <v>-</v>
      </c>
    </row>
    <row r="34" spans="1:14">
      <c r="A34" s="11" t="s">
        <v>10</v>
      </c>
      <c r="B34" s="13">
        <v>0.5</v>
      </c>
      <c r="C34">
        <v>-0.39</v>
      </c>
      <c r="D34">
        <v>-29.3</v>
      </c>
      <c r="E34" t="str">
        <f t="shared" si="0"/>
        <v>-</v>
      </c>
      <c r="F34">
        <v>-3.6999999999999998E-2</v>
      </c>
      <c r="G34">
        <v>-30.3</v>
      </c>
      <c r="H34" t="str">
        <f t="shared" si="1"/>
        <v>-</v>
      </c>
      <c r="I34" s="1">
        <v>-0.02</v>
      </c>
      <c r="J34">
        <v>-2.1</v>
      </c>
      <c r="K34" t="str">
        <f t="shared" si="2"/>
        <v>-</v>
      </c>
      <c r="L34">
        <v>2E-3</v>
      </c>
      <c r="M34">
        <v>2.4</v>
      </c>
      <c r="N34" s="2" t="str">
        <f t="shared" si="3"/>
        <v>-</v>
      </c>
    </row>
    <row r="35" spans="1:14">
      <c r="A35" s="11" t="s">
        <v>11</v>
      </c>
      <c r="B35" s="13">
        <v>0.5</v>
      </c>
      <c r="C35">
        <v>0.3</v>
      </c>
      <c r="D35">
        <v>11.5</v>
      </c>
      <c r="E35" t="str">
        <f t="shared" si="0"/>
        <v>-</v>
      </c>
      <c r="F35">
        <v>-3.0000000000000001E-3</v>
      </c>
      <c r="G35">
        <v>-2.1</v>
      </c>
      <c r="H35" t="str">
        <f t="shared" si="1"/>
        <v>-</v>
      </c>
      <c r="I35" s="1">
        <v>0.28000000000000003</v>
      </c>
      <c r="J35">
        <v>9.6999999999999993</v>
      </c>
      <c r="K35" t="str">
        <f t="shared" si="2"/>
        <v>-</v>
      </c>
      <c r="L35">
        <v>8.0000000000000002E-3</v>
      </c>
      <c r="M35">
        <v>5.7</v>
      </c>
      <c r="N35" s="2" t="str">
        <f t="shared" si="3"/>
        <v>-</v>
      </c>
    </row>
    <row r="36" spans="1:14">
      <c r="A36" s="11" t="s">
        <v>12</v>
      </c>
      <c r="B36" s="13">
        <v>0.5</v>
      </c>
      <c r="C36">
        <v>-0.2</v>
      </c>
      <c r="D36">
        <v>-19.399999999999999</v>
      </c>
      <c r="E36" t="str">
        <f t="shared" si="0"/>
        <v>-</v>
      </c>
      <c r="F36">
        <v>-5.7000000000000002E-2</v>
      </c>
      <c r="G36">
        <v>-49.1</v>
      </c>
      <c r="H36" t="str">
        <f t="shared" si="1"/>
        <v>-</v>
      </c>
      <c r="I36" s="1">
        <v>0.23</v>
      </c>
      <c r="J36">
        <v>27.7</v>
      </c>
      <c r="K36" t="str">
        <f t="shared" si="2"/>
        <v>-</v>
      </c>
      <c r="L36">
        <v>7.3999999999999996E-2</v>
      </c>
      <c r="M36">
        <v>125.4</v>
      </c>
      <c r="N36" s="2" t="str">
        <f t="shared" si="3"/>
        <v>?</v>
      </c>
    </row>
    <row r="37" spans="1:14">
      <c r="A37" s="11" t="s">
        <v>8</v>
      </c>
      <c r="B37" s="13">
        <v>0.6</v>
      </c>
      <c r="C37">
        <v>-0.05</v>
      </c>
      <c r="D37">
        <v>-3.8</v>
      </c>
      <c r="E37" t="str">
        <f t="shared" si="0"/>
        <v>-</v>
      </c>
      <c r="F37">
        <v>-3.0000000000000001E-3</v>
      </c>
      <c r="G37">
        <v>-2.5</v>
      </c>
      <c r="H37" t="str">
        <f t="shared" si="1"/>
        <v>-</v>
      </c>
      <c r="I37" s="1">
        <v>-0.02</v>
      </c>
      <c r="J37">
        <v>-1.6</v>
      </c>
      <c r="K37" t="str">
        <f t="shared" si="2"/>
        <v>-</v>
      </c>
      <c r="L37">
        <v>-0.01</v>
      </c>
      <c r="M37">
        <v>-8.5</v>
      </c>
      <c r="N37" s="2" t="str">
        <f t="shared" si="3"/>
        <v>-</v>
      </c>
    </row>
    <row r="38" spans="1:14">
      <c r="A38" s="11" t="s">
        <v>10</v>
      </c>
      <c r="B38" s="13">
        <v>0.6</v>
      </c>
      <c r="C38">
        <v>-0.01</v>
      </c>
      <c r="D38">
        <v>-0.9</v>
      </c>
      <c r="E38" t="str">
        <f t="shared" si="0"/>
        <v>-</v>
      </c>
      <c r="F38">
        <v>7.0000000000000001E-3</v>
      </c>
      <c r="G38">
        <v>7.9</v>
      </c>
      <c r="H38" t="str">
        <f t="shared" si="1"/>
        <v>-</v>
      </c>
      <c r="I38" s="1">
        <v>0.01</v>
      </c>
      <c r="J38">
        <v>0.9</v>
      </c>
      <c r="K38" t="str">
        <f t="shared" si="2"/>
        <v>-</v>
      </c>
      <c r="L38">
        <v>8.0000000000000002E-3</v>
      </c>
      <c r="M38">
        <v>8.3000000000000007</v>
      </c>
      <c r="N38" s="2" t="str">
        <f t="shared" si="3"/>
        <v>-</v>
      </c>
    </row>
    <row r="39" spans="1:14">
      <c r="A39" s="11" t="s">
        <v>11</v>
      </c>
      <c r="B39" s="13">
        <v>0.6</v>
      </c>
      <c r="C39">
        <v>-0.25</v>
      </c>
      <c r="D39">
        <v>-7.5</v>
      </c>
      <c r="E39" t="str">
        <f t="shared" si="0"/>
        <v>-</v>
      </c>
      <c r="F39">
        <v>-5.1999999999999998E-2</v>
      </c>
      <c r="G39">
        <v>-25.5</v>
      </c>
      <c r="H39" t="str">
        <f t="shared" si="1"/>
        <v>-</v>
      </c>
      <c r="I39" s="1">
        <v>0.14000000000000001</v>
      </c>
      <c r="J39">
        <v>4.5</v>
      </c>
      <c r="K39" t="str">
        <f t="shared" si="2"/>
        <v>-</v>
      </c>
      <c r="L39">
        <v>1.6E-2</v>
      </c>
      <c r="M39">
        <v>10.5</v>
      </c>
      <c r="N39" s="2" t="str">
        <f t="shared" si="3"/>
        <v>-</v>
      </c>
    </row>
    <row r="40" spans="1:14">
      <c r="A40" s="11" t="s">
        <v>12</v>
      </c>
      <c r="B40" s="13">
        <v>0.6</v>
      </c>
      <c r="C40">
        <v>-0.38</v>
      </c>
      <c r="D40">
        <v>-29.9</v>
      </c>
      <c r="E40" t="str">
        <f t="shared" si="0"/>
        <v>-</v>
      </c>
      <c r="F40">
        <v>-6.4000000000000001E-2</v>
      </c>
      <c r="G40">
        <v>-48.5</v>
      </c>
      <c r="H40" t="str">
        <f t="shared" si="1"/>
        <v>-</v>
      </c>
      <c r="I40" s="1">
        <v>0.09</v>
      </c>
      <c r="J40">
        <v>10.1</v>
      </c>
      <c r="K40" t="str">
        <f t="shared" si="2"/>
        <v>-</v>
      </c>
      <c r="L40">
        <v>-1.7999999999999999E-2</v>
      </c>
      <c r="M40">
        <v>-26.5</v>
      </c>
      <c r="N40" s="2" t="str">
        <f t="shared" si="3"/>
        <v>-</v>
      </c>
    </row>
    <row r="41" spans="1:14">
      <c r="A41" s="11" t="s">
        <v>8</v>
      </c>
      <c r="B41" s="13">
        <v>0.7</v>
      </c>
      <c r="C41">
        <v>0</v>
      </c>
      <c r="D41">
        <v>0</v>
      </c>
      <c r="E41" t="str">
        <f t="shared" si="0"/>
        <v>-</v>
      </c>
      <c r="F41">
        <v>-1.0999999999999999E-2</v>
      </c>
      <c r="G41">
        <v>-8.1</v>
      </c>
      <c r="H41" t="str">
        <f t="shared" si="1"/>
        <v>-</v>
      </c>
      <c r="I41" s="1">
        <v>0.01</v>
      </c>
      <c r="J41">
        <v>0.7</v>
      </c>
      <c r="K41" t="str">
        <f t="shared" si="2"/>
        <v>-</v>
      </c>
      <c r="L41">
        <v>4.0000000000000001E-3</v>
      </c>
      <c r="M41">
        <v>3.2</v>
      </c>
      <c r="N41" s="2" t="str">
        <f t="shared" si="3"/>
        <v>-</v>
      </c>
    </row>
    <row r="42" spans="1:14">
      <c r="A42" s="11" t="s">
        <v>10</v>
      </c>
      <c r="B42" s="13">
        <v>0.7</v>
      </c>
      <c r="C42">
        <v>-0.08</v>
      </c>
      <c r="D42">
        <v>-7</v>
      </c>
      <c r="E42" t="str">
        <f t="shared" si="0"/>
        <v>-</v>
      </c>
      <c r="F42">
        <v>-0.01</v>
      </c>
      <c r="G42">
        <v>-9.5</v>
      </c>
      <c r="H42" t="str">
        <f t="shared" si="1"/>
        <v>-</v>
      </c>
      <c r="I42" s="1">
        <v>0.04</v>
      </c>
      <c r="J42">
        <v>3.7</v>
      </c>
      <c r="K42" t="str">
        <f t="shared" si="2"/>
        <v>-</v>
      </c>
      <c r="L42">
        <v>1.0999999999999999E-2</v>
      </c>
      <c r="M42">
        <v>11.6</v>
      </c>
      <c r="N42" s="2" t="str">
        <f t="shared" si="3"/>
        <v>-</v>
      </c>
    </row>
    <row r="43" spans="1:14">
      <c r="A43" s="11" t="s">
        <v>11</v>
      </c>
      <c r="B43" s="13">
        <v>0.7</v>
      </c>
      <c r="C43">
        <v>-0.33</v>
      </c>
      <c r="D43">
        <v>-7.9</v>
      </c>
      <c r="E43" t="str">
        <f t="shared" si="0"/>
        <v>-</v>
      </c>
      <c r="F43">
        <v>-1.0999999999999999E-2</v>
      </c>
      <c r="G43">
        <v>-4.7</v>
      </c>
      <c r="H43" t="str">
        <f t="shared" si="1"/>
        <v>-</v>
      </c>
      <c r="I43" s="1">
        <v>0.01</v>
      </c>
      <c r="J43">
        <v>0.3</v>
      </c>
      <c r="K43" t="str">
        <f t="shared" si="2"/>
        <v>-</v>
      </c>
      <c r="L43">
        <v>2E-3</v>
      </c>
      <c r="M43">
        <v>0.9</v>
      </c>
      <c r="N43" s="2" t="str">
        <f t="shared" si="3"/>
        <v>-</v>
      </c>
    </row>
    <row r="44" spans="1:14">
      <c r="A44" s="11" t="s">
        <v>12</v>
      </c>
      <c r="B44" s="13">
        <v>0.7</v>
      </c>
      <c r="C44">
        <v>0.44</v>
      </c>
      <c r="D44">
        <v>58.7</v>
      </c>
      <c r="E44" t="str">
        <f t="shared" si="0"/>
        <v>?</v>
      </c>
      <c r="F44">
        <v>2E-3</v>
      </c>
      <c r="G44">
        <v>2.9</v>
      </c>
      <c r="H44" t="str">
        <f t="shared" si="1"/>
        <v>-</v>
      </c>
      <c r="I44" s="1">
        <v>-0.03</v>
      </c>
      <c r="J44">
        <v>-2.5</v>
      </c>
      <c r="K44" t="str">
        <f t="shared" si="2"/>
        <v>-</v>
      </c>
      <c r="L44">
        <v>-0.01</v>
      </c>
      <c r="M44">
        <v>-13.9</v>
      </c>
      <c r="N44" s="2" t="str">
        <f t="shared" si="3"/>
        <v>-</v>
      </c>
    </row>
    <row r="45" spans="1:14">
      <c r="A45" s="11" t="s">
        <v>8</v>
      </c>
      <c r="B45" s="13">
        <v>0.8</v>
      </c>
      <c r="C45">
        <v>0.73</v>
      </c>
      <c r="D45">
        <v>53.7</v>
      </c>
      <c r="E45" t="str">
        <f t="shared" si="0"/>
        <v>?</v>
      </c>
      <c r="F45">
        <v>2E-3</v>
      </c>
      <c r="G45">
        <v>1.3</v>
      </c>
      <c r="H45" t="str">
        <f t="shared" si="1"/>
        <v>-</v>
      </c>
      <c r="I45" s="1">
        <v>0.51</v>
      </c>
      <c r="J45">
        <v>24.4</v>
      </c>
      <c r="K45" t="str">
        <f t="shared" si="2"/>
        <v>-</v>
      </c>
      <c r="L45">
        <v>1.9E-2</v>
      </c>
      <c r="M45">
        <v>12.3</v>
      </c>
      <c r="N45" s="2" t="str">
        <f t="shared" si="3"/>
        <v>-</v>
      </c>
    </row>
    <row r="46" spans="1:14">
      <c r="A46" s="11" t="s">
        <v>10</v>
      </c>
      <c r="B46" s="13">
        <v>0.8</v>
      </c>
      <c r="C46">
        <v>1.1200000000000001</v>
      </c>
      <c r="D46">
        <v>78.900000000000006</v>
      </c>
      <c r="E46" t="str">
        <f t="shared" si="0"/>
        <v>?</v>
      </c>
      <c r="F46">
        <v>0.113</v>
      </c>
      <c r="G46">
        <v>117.7</v>
      </c>
      <c r="H46" t="str">
        <f t="shared" si="1"/>
        <v>?</v>
      </c>
      <c r="I46" s="1">
        <v>0.08</v>
      </c>
      <c r="J46">
        <v>3.1</v>
      </c>
      <c r="K46" t="str">
        <f t="shared" si="2"/>
        <v>-</v>
      </c>
      <c r="L46">
        <v>7.0000000000000001E-3</v>
      </c>
      <c r="M46">
        <v>3.3</v>
      </c>
      <c r="N46" s="2" t="str">
        <f t="shared" si="3"/>
        <v>-</v>
      </c>
    </row>
    <row r="47" spans="1:14">
      <c r="A47" s="11" t="s">
        <v>11</v>
      </c>
      <c r="B47" s="13">
        <v>0.8</v>
      </c>
      <c r="C47">
        <v>2.5299999999999998</v>
      </c>
      <c r="D47">
        <v>56.2</v>
      </c>
      <c r="E47" t="str">
        <f t="shared" si="0"/>
        <v>?</v>
      </c>
      <c r="F47">
        <v>-8.9999999999999993E-3</v>
      </c>
      <c r="G47">
        <v>-3.7</v>
      </c>
      <c r="H47" t="str">
        <f t="shared" si="1"/>
        <v>-</v>
      </c>
      <c r="I47" s="1">
        <v>0.57999999999999996</v>
      </c>
      <c r="J47">
        <v>8.3000000000000007</v>
      </c>
      <c r="K47" t="str">
        <f t="shared" si="2"/>
        <v>-</v>
      </c>
      <c r="L47">
        <v>1.2999999999999999E-2</v>
      </c>
      <c r="M47">
        <v>5.5</v>
      </c>
      <c r="N47" s="2" t="str">
        <f t="shared" si="3"/>
        <v>-</v>
      </c>
    </row>
    <row r="48" spans="1:14">
      <c r="A48" s="11" t="s">
        <v>12</v>
      </c>
      <c r="B48" s="13">
        <v>0.8</v>
      </c>
      <c r="C48">
        <v>2.21</v>
      </c>
      <c r="D48">
        <v>40</v>
      </c>
      <c r="E48" t="str">
        <f t="shared" si="0"/>
        <v>-</v>
      </c>
      <c r="F48">
        <v>0.11899999999999999</v>
      </c>
      <c r="G48">
        <v>89.5</v>
      </c>
      <c r="H48" t="str">
        <f t="shared" si="1"/>
        <v>?</v>
      </c>
      <c r="I48" s="1">
        <v>0.26</v>
      </c>
      <c r="J48">
        <v>3.4</v>
      </c>
      <c r="K48" t="str">
        <f t="shared" si="2"/>
        <v>-</v>
      </c>
      <c r="L48">
        <v>-1.2E-2</v>
      </c>
      <c r="M48">
        <v>-4.8</v>
      </c>
      <c r="N48" s="2" t="str">
        <f t="shared" si="3"/>
        <v>-</v>
      </c>
    </row>
    <row r="49" spans="1:15">
      <c r="A49" s="11" t="s">
        <v>8</v>
      </c>
      <c r="B49" s="13">
        <v>0.9</v>
      </c>
      <c r="C49">
        <v>0.93</v>
      </c>
      <c r="D49">
        <v>7.1</v>
      </c>
      <c r="E49" t="str">
        <f t="shared" si="0"/>
        <v>-</v>
      </c>
      <c r="F49">
        <v>-3.1E-2</v>
      </c>
      <c r="G49">
        <v>-4.7</v>
      </c>
      <c r="H49" t="str">
        <f t="shared" si="1"/>
        <v>-</v>
      </c>
      <c r="I49" s="1">
        <v>-0.06</v>
      </c>
      <c r="J49">
        <v>-0.4</v>
      </c>
      <c r="K49" t="str">
        <f t="shared" si="2"/>
        <v>-</v>
      </c>
      <c r="L49">
        <v>2E-3</v>
      </c>
      <c r="M49">
        <v>0.3</v>
      </c>
      <c r="N49" s="2" t="str">
        <f t="shared" si="3"/>
        <v>-</v>
      </c>
    </row>
    <row r="50" spans="1:15">
      <c r="A50" s="11" t="s">
        <v>10</v>
      </c>
      <c r="B50" s="13">
        <v>0.9</v>
      </c>
      <c r="C50">
        <v>-0.71</v>
      </c>
      <c r="D50">
        <v>-5.5</v>
      </c>
      <c r="E50" t="str">
        <f t="shared" si="0"/>
        <v>-</v>
      </c>
      <c r="F50">
        <v>0.13300000000000001</v>
      </c>
      <c r="G50">
        <v>29.9</v>
      </c>
      <c r="H50" t="str">
        <f t="shared" si="1"/>
        <v>-</v>
      </c>
      <c r="I50" s="1">
        <v>0</v>
      </c>
      <c r="J50">
        <v>0</v>
      </c>
      <c r="K50" t="str">
        <f t="shared" si="2"/>
        <v>-</v>
      </c>
      <c r="L50">
        <v>-1E-3</v>
      </c>
      <c r="M50">
        <v>-0.2</v>
      </c>
      <c r="N50" s="2" t="str">
        <f t="shared" si="3"/>
        <v>-</v>
      </c>
    </row>
    <row r="51" spans="1:15">
      <c r="A51" s="11" t="s">
        <v>11</v>
      </c>
      <c r="B51" s="13">
        <v>0.9</v>
      </c>
      <c r="C51">
        <v>2.12</v>
      </c>
      <c r="D51">
        <v>23.3</v>
      </c>
      <c r="E51" t="str">
        <f t="shared" si="0"/>
        <v>-</v>
      </c>
      <c r="F51">
        <v>0.33</v>
      </c>
      <c r="G51">
        <v>113</v>
      </c>
      <c r="H51" t="str">
        <f t="shared" si="1"/>
        <v>?</v>
      </c>
      <c r="I51" s="1">
        <v>0.11</v>
      </c>
      <c r="J51">
        <v>1</v>
      </c>
      <c r="K51" t="str">
        <f t="shared" si="2"/>
        <v>-</v>
      </c>
      <c r="L51">
        <v>-1.0999999999999999E-2</v>
      </c>
      <c r="M51">
        <v>-1.8</v>
      </c>
      <c r="N51" s="2" t="str">
        <f t="shared" si="3"/>
        <v>-</v>
      </c>
    </row>
    <row r="52" spans="1:15">
      <c r="A52" s="11" t="s">
        <v>12</v>
      </c>
      <c r="B52" s="13">
        <v>0.9</v>
      </c>
      <c r="C52">
        <v>-0.17</v>
      </c>
      <c r="D52">
        <v>-1</v>
      </c>
      <c r="E52" t="str">
        <f t="shared" si="0"/>
        <v>-</v>
      </c>
      <c r="F52">
        <v>-4.2999999999999997E-2</v>
      </c>
      <c r="G52">
        <v>-8.5</v>
      </c>
      <c r="H52" t="str">
        <f t="shared" si="1"/>
        <v>-</v>
      </c>
      <c r="I52" s="1">
        <v>-0.09</v>
      </c>
      <c r="J52">
        <v>-0.6</v>
      </c>
      <c r="K52" t="str">
        <f t="shared" si="2"/>
        <v>-</v>
      </c>
      <c r="L52">
        <v>1.0999999999999999E-2</v>
      </c>
      <c r="M52">
        <v>2.4</v>
      </c>
      <c r="N52" s="2" t="str">
        <f t="shared" si="3"/>
        <v>-</v>
      </c>
    </row>
    <row r="53" spans="1:15" s="8" customFormat="1">
      <c r="A53" s="14"/>
      <c r="B53" s="15"/>
      <c r="I53" s="10"/>
      <c r="N53" s="9"/>
      <c r="O53" s="10"/>
    </row>
    <row r="56" spans="1:15">
      <c r="B56" s="4" t="s">
        <v>18</v>
      </c>
      <c r="C56">
        <f>AVERAGE(C$5:C$52)</f>
        <v>7.2500000000000023E-2</v>
      </c>
      <c r="D56">
        <f>AVERAGE(D$5:D$52)</f>
        <v>-1.4500000000000002</v>
      </c>
      <c r="F56">
        <f>AVERAGE(F$5:F$52)</f>
        <v>-1.2916666666666658E-3</v>
      </c>
      <c r="G56">
        <f>AVERAGE(G$5:G$52)</f>
        <v>-3.0312500000000018</v>
      </c>
      <c r="I56" s="1">
        <f>AVERAGE(I$5:I$52)</f>
        <v>4.9791666666666658E-2</v>
      </c>
      <c r="J56">
        <f>AVERAGE(J$5:J$52)</f>
        <v>3.6729166666666675</v>
      </c>
      <c r="L56">
        <f>AVERAGE(L$5:L$52)</f>
        <v>2.770833333333333E-3</v>
      </c>
      <c r="M56">
        <f>AVERAGE(M$5:M$52)</f>
        <v>4.8520833333333337</v>
      </c>
    </row>
    <row r="57" spans="1:15">
      <c r="B57" s="4" t="s">
        <v>19</v>
      </c>
      <c r="C57">
        <f>MEDIAN(C$5:C$52)</f>
        <v>-0.09</v>
      </c>
      <c r="D57">
        <f>MEDIAN(D$5:D$52)</f>
        <v>-6.25</v>
      </c>
      <c r="F57">
        <f>MEDIAN(F$5:F$52)</f>
        <v>-1.0999999999999999E-2</v>
      </c>
      <c r="G57">
        <f>MEDIAN(G$5:G$52)</f>
        <v>-7.0500000000000007</v>
      </c>
      <c r="I57" s="1">
        <f>MEDIAN(I$5:I$52)</f>
        <v>0.01</v>
      </c>
      <c r="J57">
        <f>MEDIAN(J$5:J$52)</f>
        <v>0.75</v>
      </c>
      <c r="L57">
        <f>MEDIAN(L$5:L$52)</f>
        <v>1E-3</v>
      </c>
      <c r="M57">
        <f>MEDIAN(M$5:M$52)</f>
        <v>0.7</v>
      </c>
    </row>
    <row r="58" spans="1:15">
      <c r="B58" s="4" t="s">
        <v>20</v>
      </c>
      <c r="C58">
        <f>STDEV(C$5:C$52)</f>
        <v>0.66931371647668314</v>
      </c>
      <c r="D58">
        <f>STDEV(D$5:D$52)</f>
        <v>24.422896477290028</v>
      </c>
      <c r="F58">
        <f>STDEV(F$5:F$52)</f>
        <v>6.3139143314109955E-2</v>
      </c>
      <c r="G58">
        <f>STDEV(G$5:G$52)</f>
        <v>34.347189523911403</v>
      </c>
      <c r="I58" s="1">
        <f>STDEV(I$5:I$52)</f>
        <v>0.16376539503182311</v>
      </c>
      <c r="J58">
        <f>STDEV(J$5:J$52)</f>
        <v>11.691672606318283</v>
      </c>
      <c r="L58">
        <f>STDEV(L$5:L$52)</f>
        <v>1.5988346265704174E-2</v>
      </c>
      <c r="M58">
        <f>STDEV(M$5:M$52)</f>
        <v>22.402345902836934</v>
      </c>
    </row>
    <row r="59" spans="1:15">
      <c r="B59" s="4" t="s">
        <v>21</v>
      </c>
      <c r="C59">
        <f>COUNTIF(C$5:C$52, "&lt;0")</f>
        <v>35</v>
      </c>
      <c r="D59">
        <f>COUNTIF(D$5:D$52, "&lt;0")</f>
        <v>35</v>
      </c>
      <c r="F59">
        <f>COUNTIF(F$5:F$52, "&lt;0")</f>
        <v>34</v>
      </c>
      <c r="G59">
        <f>COUNTIF(G$5:G$52, "&lt;0")</f>
        <v>34</v>
      </c>
      <c r="I59" s="1">
        <f>COUNTIF(I$5:I$52, "&lt;0")</f>
        <v>18</v>
      </c>
      <c r="J59">
        <f>COUNTIF(J$5:J$52, "&lt;0")</f>
        <v>18</v>
      </c>
      <c r="L59">
        <f>COUNTIF(L$5:L$52, "&lt;0")</f>
        <v>18</v>
      </c>
      <c r="M59">
        <f>COUNTIF(M$5:M$52, "&lt;0")</f>
        <v>18</v>
      </c>
    </row>
    <row r="62" spans="1:15">
      <c r="B62" s="16" t="s">
        <v>22</v>
      </c>
    </row>
    <row r="63" spans="1:15">
      <c r="B63" s="4" t="s">
        <v>18</v>
      </c>
      <c r="C63">
        <f>AVERAGE(C$5:C$28)</f>
        <v>-0.10999999999999999</v>
      </c>
      <c r="D63">
        <f>AVERAGE(D$5:D$28)</f>
        <v>-6.8458333333333341</v>
      </c>
      <c r="F63">
        <f>AVERAGE(F$5:F$28)</f>
        <v>-9.8749999999999984E-3</v>
      </c>
      <c r="G63">
        <f>AVERAGE(G$5:G$28)</f>
        <v>-6.8125</v>
      </c>
      <c r="I63" s="1">
        <f>AVERAGE(I$5:I$28)</f>
        <v>-8.3333333333333315E-3</v>
      </c>
      <c r="J63">
        <f>AVERAGE(J$5:J$28)</f>
        <v>1.3250000000000002</v>
      </c>
      <c r="L63">
        <f>AVERAGE(L$5:L$28)</f>
        <v>2.4999999999999963E-4</v>
      </c>
      <c r="M63">
        <f>AVERAGE(M$5:M$28)</f>
        <v>2.7375000000000003</v>
      </c>
    </row>
    <row r="64" spans="1:15">
      <c r="B64" s="4" t="s">
        <v>19</v>
      </c>
      <c r="C64">
        <f>MEDIAN(C$5:C$28)</f>
        <v>-0.09</v>
      </c>
      <c r="D64">
        <f>MEDIAN(D$5:D$28)</f>
        <v>-7.1999999999999993</v>
      </c>
      <c r="F64">
        <f>MEDIAN(F$5:F$28)</f>
        <v>-1.2500000000000001E-2</v>
      </c>
      <c r="G64">
        <f>MEDIAN(G$5:G$28)</f>
        <v>-7.45</v>
      </c>
      <c r="I64" s="1">
        <f>MEDIAN(I$5:I$28)</f>
        <v>-0.01</v>
      </c>
      <c r="J64">
        <f>MEDIAN(J$5:J$28)</f>
        <v>-0.55000000000000004</v>
      </c>
      <c r="L64">
        <f>MEDIAN(L$5:L$28)</f>
        <v>0</v>
      </c>
      <c r="M64">
        <f>MEDIAN(M$5:M$28)</f>
        <v>0</v>
      </c>
    </row>
    <row r="65" spans="2:13">
      <c r="B65" s="4" t="s">
        <v>20</v>
      </c>
      <c r="C65">
        <f>STDEV(C$5:C$28)</f>
        <v>0.14416174491054201</v>
      </c>
      <c r="D65">
        <f>STDEV(D$5:D$28)</f>
        <v>10.195479781305755</v>
      </c>
      <c r="F65">
        <f>STDEV(F$5:F$28)</f>
        <v>1.7525912492525237E-2</v>
      </c>
      <c r="G65">
        <f>STDEV(G$5:G$28)</f>
        <v>17.763918303073254</v>
      </c>
      <c r="I65" s="1">
        <f>STDEV(I$5:I$28)</f>
        <v>0.12923408712627765</v>
      </c>
      <c r="J65">
        <f>STDEV(J$5:J$28)</f>
        <v>12.229125959737697</v>
      </c>
      <c r="L65">
        <f>STDEV(L$5:L$28)</f>
        <v>1.2026239428125847E-2</v>
      </c>
      <c r="M65">
        <f>STDEV(M$5:M$28)</f>
        <v>13.659836796402358</v>
      </c>
    </row>
    <row r="66" spans="2:13">
      <c r="B66" s="4" t="s">
        <v>21</v>
      </c>
      <c r="C66">
        <f>COUNTIF(C$5:C$28, "&lt;0")</f>
        <v>20</v>
      </c>
      <c r="D66">
        <f>COUNTIF(D$5:D$28, "&lt;0")</f>
        <v>20</v>
      </c>
      <c r="F66">
        <f>COUNTIF(F$5:F$28, "&lt;0")</f>
        <v>17</v>
      </c>
      <c r="G66">
        <f>COUNTIF(G$5:G$28, "&lt;0")</f>
        <v>17</v>
      </c>
      <c r="I66" s="1">
        <f>COUNTIF(I$5:I$28, "&lt;0")</f>
        <v>12</v>
      </c>
      <c r="J66">
        <f>COUNTIF(J$5:J$28, "&lt;0")</f>
        <v>12</v>
      </c>
      <c r="L66">
        <f>COUNTIF(L$5:L$28, "&lt;0")</f>
        <v>10</v>
      </c>
      <c r="M66">
        <f>COUNTIF(M$5:M$28, "&lt;0")</f>
        <v>10</v>
      </c>
    </row>
    <row r="69" spans="2:13">
      <c r="B69" s="16" t="s">
        <v>23</v>
      </c>
    </row>
    <row r="70" spans="2:13">
      <c r="B70" s="4" t="s">
        <v>18</v>
      </c>
      <c r="C70">
        <f>AVERAGE(C$29:C$52)</f>
        <v>0.255</v>
      </c>
      <c r="D70">
        <f>AVERAGE(D$29:D$52)</f>
        <v>3.9458333333333311</v>
      </c>
      <c r="F70">
        <f>AVERAGE(F$29:F$52)</f>
        <v>7.2916666666666642E-3</v>
      </c>
      <c r="G70">
        <f>AVERAGE(G$29:G$52)</f>
        <v>0.74999999999999767</v>
      </c>
      <c r="I70" s="1">
        <f>AVERAGE(I$29:I$52)</f>
        <v>0.10791666666666666</v>
      </c>
      <c r="J70">
        <f>AVERAGE(J$29:J$52)</f>
        <v>6.020833333333333</v>
      </c>
      <c r="L70">
        <f>AVERAGE(L$29:L$52)</f>
        <v>5.2916666666666667E-3</v>
      </c>
      <c r="M70">
        <f>AVERAGE(M$29:M$52)</f>
        <v>6.9666666666666686</v>
      </c>
    </row>
    <row r="71" spans="2:13">
      <c r="B71" s="4" t="s">
        <v>19</v>
      </c>
      <c r="C71">
        <f>MEDIAN(C$29:C$52)</f>
        <v>-9.5000000000000001E-2</v>
      </c>
      <c r="D71">
        <f>MEDIAN(D$29:D$52)</f>
        <v>-4.6500000000000004</v>
      </c>
      <c r="F71">
        <f>MEDIAN(F$29:F$52)</f>
        <v>-1.0499999999999999E-2</v>
      </c>
      <c r="G71">
        <f>MEDIAN(G$29:G$52)</f>
        <v>-5.7</v>
      </c>
      <c r="I71" s="1">
        <f>MEDIAN(I$29:I$52)</f>
        <v>6.5000000000000002E-2</v>
      </c>
      <c r="J71">
        <f>MEDIAN(J$29:J$52)</f>
        <v>3.25</v>
      </c>
      <c r="L71">
        <f>MEDIAN(L$29:L$52)</f>
        <v>2.5000000000000001E-3</v>
      </c>
      <c r="M71">
        <f>MEDIAN(M$29:M$52)</f>
        <v>2.4</v>
      </c>
    </row>
    <row r="72" spans="2:13">
      <c r="B72" s="4" t="s">
        <v>20</v>
      </c>
      <c r="C72">
        <f>STDEV(C$29:C$52)</f>
        <v>0.90837647816693079</v>
      </c>
      <c r="D72">
        <f>STDEV(D$29:D$52)</f>
        <v>32.468137949134963</v>
      </c>
      <c r="F72">
        <f>STDEV(F$29:F$52)</f>
        <v>8.766709717753994E-2</v>
      </c>
      <c r="G72">
        <f>STDEV(G$29:G$52)</f>
        <v>45.446184132156937</v>
      </c>
      <c r="I72" s="1">
        <f>STDEV(I$29:I$52)</f>
        <v>0.17621575625812577</v>
      </c>
      <c r="J72">
        <f>STDEV(J$29:J$52)</f>
        <v>10.875540133179859</v>
      </c>
      <c r="L72">
        <f>STDEV(L$29:L$52)</f>
        <v>1.90912663088482E-2</v>
      </c>
      <c r="M72">
        <f>STDEV(M$29:M$52)</f>
        <v>28.803255653343847</v>
      </c>
    </row>
    <row r="73" spans="2:13">
      <c r="B73" s="4" t="s">
        <v>21</v>
      </c>
      <c r="C73">
        <f>COUNTIF(C$29:C$52, "&lt;0")</f>
        <v>15</v>
      </c>
      <c r="D73">
        <f>COUNTIF(D$29:D$52, "&lt;0")</f>
        <v>15</v>
      </c>
      <c r="F73">
        <f>COUNTIF(F$29:F$52, "&lt;0")</f>
        <v>17</v>
      </c>
      <c r="G73">
        <f>COUNTIF(G$29:G$52, "&lt;0")</f>
        <v>17</v>
      </c>
      <c r="I73" s="1">
        <f>COUNTIF(I$29:I$52, "&lt;0")</f>
        <v>6</v>
      </c>
      <c r="J73">
        <f>COUNTIF(J$29:J$52, "&lt;0")</f>
        <v>6</v>
      </c>
      <c r="L73">
        <f>COUNTIF(L$29:L$52, "&lt;0")</f>
        <v>8</v>
      </c>
      <c r="M73">
        <f>COUNTIF(M$29:M$52, "&lt;0")</f>
        <v>8</v>
      </c>
    </row>
  </sheetData>
  <mergeCells count="7">
    <mergeCell ref="C1:N1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2026-05-20T15:36:14Z</dcterms:created>
  <dcterms:modified xsi:type="dcterms:W3CDTF">2026-05-22T15:11:45Z</dcterms:modified>
  <cp:category/>
  <cp:contentStatus/>
</cp:coreProperties>
</file>